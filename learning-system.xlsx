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reak it Down" sheetId="1" state="visible" r:id="rId1"/>
    <sheet xmlns:r="http://schemas.openxmlformats.org/officeDocument/2006/relationships" name="Phase 2 - Lock it In" sheetId="2" state="visible" r:id="rId2"/>
    <sheet xmlns:r="http://schemas.openxmlformats.org/officeDocument/2006/relationships" name="Phase 3 - Map it Out" sheetId="3" state="visible" r:id="rId3"/>
    <sheet xmlns:r="http://schemas.openxmlformats.org/officeDocument/2006/relationships" name="Phase 4 - Make it Simple" sheetId="4" state="visible" r:id="rId4"/>
    <sheet xmlns:r="http://schemas.openxmlformats.org/officeDocument/2006/relationships" name="Phase 5 - Make it Stick" sheetId="5" state="visible" r:id="rId5"/>
    <sheet xmlns:r="http://schemas.openxmlformats.org/officeDocument/2006/relationships" name="Phase 6 - Make it Real" sheetId="6" state="visible" r:id="rId6"/>
    <sheet xmlns:r="http://schemas.openxmlformats.org/officeDocument/2006/relationships" name="Phase 7 - Make it Yours" sheetId="7" state="visible" r:id="rId7"/>
    <sheet xmlns:r="http://schemas.openxmlformats.org/officeDocument/2006/relationships" name="Levels of Learning" sheetId="8" state="visible" r:id="rId8"/>
    <sheet xmlns:r="http://schemas.openxmlformats.org/officeDocument/2006/relationships" name="Personal Learning Systems" sheetId="9" state="visible" r:id="rId9"/>
    <sheet xmlns:r="http://schemas.openxmlformats.org/officeDocument/2006/relationships" name="SuperHuman Life" sheetId="10" state="visible" r:id="rId10"/>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Calibri"/>
      <b val="1"/>
      <color rgb="00FFFFFF"/>
      <sz val="16"/>
    </font>
    <font>
      <name val="Calibri"/>
      <i val="1"/>
      <color rgb="00595959"/>
      <sz val="10"/>
    </font>
    <font>
      <name val="Calibri"/>
      <b val="1"/>
      <color rgb="001F3864"/>
      <sz val="11"/>
    </font>
    <font>
      <name val="Calibri"/>
      <b val="1"/>
      <sz val="10"/>
    </font>
    <font>
      <b val="1"/>
      <color rgb="001F3864"/>
      <sz val="10"/>
    </font>
    <font>
      <name val="Calibri"/>
      <sz val="10"/>
    </font>
  </fonts>
  <fills count="4">
    <fill>
      <patternFill/>
    </fill>
    <fill>
      <patternFill patternType="gray125"/>
    </fill>
    <fill>
      <patternFill patternType="solid">
        <fgColor rgb="001F3864"/>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indent="1"/>
    </xf>
    <xf numFmtId="0" fontId="3" fillId="3" borderId="0" applyAlignment="1" pivotButton="0" quotePrefix="0" xfId="0">
      <alignment vertical="center" indent="1"/>
    </xf>
    <xf numFmtId="0" fontId="4" fillId="0" borderId="0" pivotButton="0" quotePrefix="0" xfId="0"/>
    <xf numFmtId="0" fontId="0" fillId="0" borderId="1" pivotButton="0" quotePrefix="0" xfId="0"/>
    <xf numFmtId="0" fontId="5" fillId="3" borderId="1" applyAlignment="1" pivotButton="0" quotePrefix="0" xfId="0">
      <alignment vertical="center" wrapText="1"/>
    </xf>
    <xf numFmtId="0" fontId="6" fillId="0" borderId="0" applyAlignment="1" pivotButton="0" quotePrefix="0" xfId="0">
      <alignment vertical="top" wrapText="1" indent="1"/>
    </xf>
    <xf numFmtId="0" fontId="0" fillId="0" borderId="1" applyAlignment="1" pivotButton="0" quotePrefix="0" xfId="0">
      <alignment vertical="top" wrapText="1"/>
    </xf>
    <xf numFmtId="0" fontId="4" fillId="0" borderId="1" pivotButton="0" quotePrefix="0" xfId="0"/>
    <xf numFmtId="164" fontId="0" fillId="0" borderId="1" pivotButton="0" quotePrefix="0" xfId="0"/>
    <xf numFmtId="9" fontId="0" fillId="0" borderId="1" pivotButton="0" quotePrefix="0" xfId="0"/>
    <xf numFmtId="0" fontId="4" fillId="0" borderId="1" applyAlignment="1" pivotButton="0" quotePrefix="0" xfId="0">
      <alignment horizontal="center"/>
    </xf>
    <xf numFmtId="0" fontId="2" fillId="0" borderId="1" applyAlignment="1" pivotButton="0" quotePrefix="0" xfId="0">
      <alignment vertical="top"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6" customWidth="1" min="1" max="1"/>
    <col width="34" customWidth="1" min="2" max="2"/>
    <col width="10" customWidth="1" min="3" max="3"/>
    <col width="10" customWidth="1" min="4" max="4"/>
    <col width="10" customWidth="1" min="5" max="5"/>
    <col width="12" customWidth="1" min="6" max="6"/>
    <col width="12" customWidth="1" min="7" max="7"/>
    <col width="12" customWidth="1" min="8" max="8"/>
  </cols>
  <sheetData>
    <row r="1" ht="30" customHeight="1">
      <c r="A1" s="1" t="inlineStr">
        <is>
          <t>Phase 1: Break it Down</t>
        </is>
      </c>
    </row>
    <row r="3" ht="56" customHeight="1">
      <c r="A3" s="2" t="inlineStr">
        <is>
          <t>Decompose the subject into Groups → Sections → Subsections → Pages → Details. Pre-read each unit at 5–8× your normal speed — skim only titles, sub-headings, proper nouns, and numbers to build a rough mental map before the real read (80/20 rule: ~20% of the details buy ~80% of the orientation you need). For dense material, pre-reading matters MORE, not less.</t>
        </is>
      </c>
    </row>
    <row r="5">
      <c r="A5" s="3" t="inlineStr">
        <is>
          <t>Study window</t>
        </is>
      </c>
    </row>
    <row r="6">
      <c r="A6" s="4" t="inlineStr">
        <is>
          <t>Study start date:</t>
        </is>
      </c>
      <c r="B6" s="5" t="n"/>
      <c r="C6" s="4" t="inlineStr">
        <is>
          <t>Target/exam date:</t>
        </is>
      </c>
      <c r="D6" s="5" t="n"/>
      <c r="E6" s="4" t="inlineStr">
        <is>
          <t>Study days/week:</t>
        </is>
      </c>
      <c r="F6" s="5" t="n"/>
    </row>
    <row r="8">
      <c r="A8" s="3" t="inlineStr">
        <is>
          <t>Decomposition + priority score</t>
        </is>
      </c>
    </row>
    <row r="9">
      <c r="A9" s="6" t="inlineStr">
        <is>
          <t>Group #</t>
        </is>
      </c>
      <c r="B9" s="6" t="inlineStr">
        <is>
          <t>Section name</t>
        </is>
      </c>
      <c r="C9" s="6" t="inlineStr">
        <is>
          <t># Subsections</t>
        </is>
      </c>
      <c r="D9" s="6" t="inlineStr">
        <is>
          <t>“Pages” /
Subsection</t>
        </is>
      </c>
      <c r="E9" s="6" t="inlineStr">
        <is>
          <t>Challenge
(1-5)</t>
        </is>
      </c>
      <c r="F9" s="6" t="inlineStr">
        <is>
          <t>Importance
(1-5)</t>
        </is>
      </c>
      <c r="G9" s="6" t="inlineStr">
        <is>
          <t>% Mastered</t>
        </is>
      </c>
      <c r="H9" s="6" t="inlineStr">
        <is>
          <t>Priority score</t>
        </is>
      </c>
    </row>
    <row r="10">
      <c r="A10" s="5" t="n"/>
      <c r="B10" s="5" t="n"/>
      <c r="C10" s="5" t="n"/>
      <c r="D10" s="5" t="n"/>
      <c r="E10" s="5" t="n"/>
      <c r="F10" s="5" t="n"/>
      <c r="G10" s="5" t="n"/>
      <c r="H10" s="5">
        <f>IFERROR(F10/E10*(1+G10),0)</f>
        <v/>
      </c>
    </row>
    <row r="11">
      <c r="A11" s="5" t="n"/>
      <c r="B11" s="5" t="n"/>
      <c r="C11" s="5" t="n"/>
      <c r="D11" s="5" t="n"/>
      <c r="E11" s="5" t="n"/>
      <c r="F11" s="5" t="n"/>
      <c r="G11" s="5" t="n"/>
      <c r="H11" s="5">
        <f>IFERROR(F11/E11*(1+G11),0)</f>
        <v/>
      </c>
    </row>
    <row r="12">
      <c r="A12" s="5" t="n"/>
      <c r="B12" s="5" t="n"/>
      <c r="C12" s="5" t="n"/>
      <c r="D12" s="5" t="n"/>
      <c r="E12" s="5" t="n"/>
      <c r="F12" s="5" t="n"/>
      <c r="G12" s="5" t="n"/>
      <c r="H12" s="5">
        <f>IFERROR(F12/E12*(1+G12),0)</f>
        <v/>
      </c>
    </row>
    <row r="13">
      <c r="A13" s="5" t="n"/>
      <c r="B13" s="5" t="n"/>
      <c r="C13" s="5" t="n"/>
      <c r="D13" s="5" t="n"/>
      <c r="E13" s="5" t="n"/>
      <c r="F13" s="5" t="n"/>
      <c r="G13" s="5" t="n"/>
      <c r="H13" s="5">
        <f>IFERROR(F13/E13*(1+G13),0)</f>
        <v/>
      </c>
    </row>
    <row r="14">
      <c r="A14" s="5" t="n"/>
      <c r="B14" s="5" t="n"/>
      <c r="C14" s="5" t="n"/>
      <c r="D14" s="5" t="n"/>
      <c r="E14" s="5" t="n"/>
      <c r="F14" s="5" t="n"/>
      <c r="G14" s="5" t="n"/>
      <c r="H14" s="5">
        <f>IFERROR(F14/E14*(1+G14),0)</f>
        <v/>
      </c>
    </row>
    <row r="15">
      <c r="A15" s="5" t="n"/>
      <c r="B15" s="5" t="n"/>
      <c r="C15" s="5" t="n"/>
      <c r="D15" s="5" t="n"/>
      <c r="E15" s="5" t="n"/>
      <c r="F15" s="5" t="n"/>
      <c r="G15" s="5" t="n"/>
      <c r="H15" s="5">
        <f>IFERROR(F15/E15*(1+G15),0)</f>
        <v/>
      </c>
    </row>
    <row r="16">
      <c r="A16" s="5" t="n"/>
      <c r="B16" s="5" t="n"/>
      <c r="C16" s="5" t="n"/>
      <c r="D16" s="5" t="n"/>
      <c r="E16" s="5" t="n"/>
      <c r="F16" s="5" t="n"/>
      <c r="G16" s="5" t="n"/>
      <c r="H16" s="5">
        <f>IFERROR(F16/E16*(1+G16),0)</f>
        <v/>
      </c>
    </row>
    <row r="17">
      <c r="A17" s="5" t="n"/>
      <c r="B17" s="5" t="n"/>
      <c r="C17" s="5" t="n"/>
      <c r="D17" s="5" t="n"/>
      <c r="E17" s="5" t="n"/>
      <c r="F17" s="5" t="n"/>
      <c r="G17" s="5" t="n"/>
      <c r="H17" s="5">
        <f>IFERROR(F17/E17*(1+G17),0)</f>
        <v/>
      </c>
    </row>
    <row r="18">
      <c r="A18" s="5" t="n"/>
      <c r="B18" s="5" t="n"/>
      <c r="C18" s="5" t="n"/>
      <c r="D18" s="5" t="n"/>
      <c r="E18" s="5" t="n"/>
      <c r="F18" s="5" t="n"/>
      <c r="G18" s="5" t="n"/>
      <c r="H18" s="5">
        <f>IFERROR(F18/E18*(1+G18),0)</f>
        <v/>
      </c>
    </row>
    <row r="19">
      <c r="A19" s="5" t="n"/>
      <c r="B19" s="5" t="n"/>
      <c r="C19" s="5" t="n"/>
      <c r="D19" s="5" t="n"/>
      <c r="E19" s="5" t="n"/>
      <c r="F19" s="5" t="n"/>
      <c r="G19" s="5" t="n"/>
      <c r="H19" s="5">
        <f>IFERROR(F19/E19*(1+G19),0)</f>
        <v/>
      </c>
    </row>
    <row r="20">
      <c r="A20" s="5" t="n"/>
      <c r="B20" s="5" t="n"/>
      <c r="C20" s="5" t="n"/>
      <c r="D20" s="5" t="n"/>
      <c r="E20" s="5" t="n"/>
      <c r="F20" s="5" t="n"/>
      <c r="G20" s="5" t="n"/>
      <c r="H20" s="5">
        <f>IFERROR(F20/E20*(1+G20),0)</f>
        <v/>
      </c>
    </row>
    <row r="21">
      <c r="A21" s="5" t="n"/>
      <c r="B21" s="5" t="n"/>
      <c r="C21" s="5" t="n"/>
      <c r="D21" s="5" t="n"/>
      <c r="E21" s="5" t="n"/>
      <c r="F21" s="5" t="n"/>
      <c r="G21" s="5" t="n"/>
      <c r="H21" s="5">
        <f>IFERROR(F21/E21*(1+G21),0)</f>
        <v/>
      </c>
    </row>
    <row r="22">
      <c r="A22" s="5" t="n"/>
      <c r="B22" s="5" t="n"/>
      <c r="C22" s="5" t="n"/>
      <c r="D22" s="5" t="n"/>
      <c r="E22" s="5" t="n"/>
      <c r="F22" s="5" t="n"/>
      <c r="G22" s="5" t="n"/>
      <c r="H22" s="5">
        <f>IFERROR(F22/E22*(1+G22),0)</f>
        <v/>
      </c>
    </row>
    <row r="23">
      <c r="A23" s="5" t="n"/>
      <c r="B23" s="5" t="n"/>
      <c r="C23" s="5" t="n"/>
      <c r="D23" s="5" t="n"/>
      <c r="E23" s="5" t="n"/>
      <c r="F23" s="5" t="n"/>
      <c r="G23" s="5" t="n"/>
      <c r="H23" s="5">
        <f>IFERROR(F23/E23*(1+G23),0)</f>
        <v/>
      </c>
    </row>
    <row r="24">
      <c r="A24" s="5" t="n"/>
      <c r="B24" s="5" t="n"/>
      <c r="C24" s="5" t="n"/>
      <c r="D24" s="5" t="n"/>
      <c r="E24" s="5" t="n"/>
      <c r="F24" s="5" t="n"/>
      <c r="G24" s="5" t="n"/>
      <c r="H24" s="5">
        <f>IFERROR(F24/E24*(1+G24),0)</f>
        <v/>
      </c>
    </row>
    <row r="25">
      <c r="A25" s="5" t="n"/>
      <c r="B25" s="5" t="n"/>
      <c r="C25" s="5" t="n"/>
      <c r="D25" s="5" t="n"/>
      <c r="E25" s="5" t="n"/>
      <c r="F25" s="5" t="n"/>
      <c r="G25" s="5" t="n"/>
      <c r="H25" s="5">
        <f>IFERROR(F25/E25*(1+G25),0)</f>
        <v/>
      </c>
    </row>
    <row r="26">
      <c r="A26" s="5" t="n"/>
      <c r="B26" s="5" t="n"/>
      <c r="C26" s="5" t="n"/>
      <c r="D26" s="5" t="n"/>
      <c r="E26" s="5" t="n"/>
      <c r="F26" s="5" t="n"/>
      <c r="G26" s="5" t="n"/>
      <c r="H26" s="5">
        <f>IFERROR(F26/E26*(1+G26),0)</f>
        <v/>
      </c>
    </row>
    <row r="27">
      <c r="A27" s="5" t="n"/>
      <c r="B27" s="5" t="n"/>
      <c r="C27" s="5" t="n"/>
      <c r="D27" s="5" t="n"/>
      <c r="E27" s="5" t="n"/>
      <c r="F27" s="5" t="n"/>
      <c r="G27" s="5" t="n"/>
      <c r="H27" s="5">
        <f>IFERROR(F27/E27*(1+G27),0)</f>
        <v/>
      </c>
    </row>
    <row r="28">
      <c r="A28" s="5" t="n"/>
      <c r="B28" s="5" t="n"/>
      <c r="C28" s="5" t="n"/>
      <c r="D28" s="5" t="n"/>
      <c r="E28" s="5" t="n"/>
      <c r="F28" s="5" t="n"/>
      <c r="G28" s="5" t="n"/>
      <c r="H28" s="5">
        <f>IFERROR(F28/E28*(1+G28),0)</f>
        <v/>
      </c>
    </row>
    <row r="29">
      <c r="A29" s="5" t="n"/>
      <c r="B29" s="5" t="n"/>
      <c r="C29" s="5" t="n"/>
      <c r="D29" s="5" t="n"/>
      <c r="E29" s="5" t="n"/>
      <c r="F29" s="5" t="n"/>
      <c r="G29" s="5" t="n"/>
      <c r="H29" s="5">
        <f>IFERROR(F29/E29*(1+G29),0)</f>
        <v/>
      </c>
    </row>
    <row r="30">
      <c r="A30" s="5" t="n"/>
      <c r="B30" s="5" t="n"/>
      <c r="C30" s="5" t="n"/>
      <c r="D30" s="5" t="n"/>
      <c r="E30" s="5" t="n"/>
      <c r="F30" s="5" t="n"/>
      <c r="G30" s="5" t="n"/>
      <c r="H30" s="5">
        <f>IFERROR(F30/E30*(1+G30),0)</f>
        <v/>
      </c>
    </row>
    <row r="31">
      <c r="A31" s="5" t="n"/>
      <c r="B31" s="5" t="n"/>
      <c r="C31" s="5" t="n"/>
      <c r="D31" s="5" t="n"/>
      <c r="E31" s="5" t="n"/>
      <c r="F31" s="5" t="n"/>
      <c r="G31" s="5" t="n"/>
      <c r="H31" s="5">
        <f>IFERROR(F31/E31*(1+G31),0)</f>
        <v/>
      </c>
    </row>
    <row r="32">
      <c r="A32" s="5" t="n"/>
      <c r="B32" s="5" t="n"/>
      <c r="C32" s="5" t="n"/>
      <c r="D32" s="5" t="n"/>
      <c r="E32" s="5" t="n"/>
      <c r="F32" s="5" t="n"/>
      <c r="G32" s="5" t="n"/>
      <c r="H32" s="5">
        <f>IFERROR(F32/E32*(1+G32),0)</f>
        <v/>
      </c>
    </row>
    <row r="33">
      <c r="A33" s="5" t="n"/>
      <c r="B33" s="5" t="n"/>
      <c r="C33" s="5" t="n"/>
      <c r="D33" s="5" t="n"/>
      <c r="E33" s="5" t="n"/>
      <c r="F33" s="5" t="n"/>
      <c r="G33" s="5" t="n"/>
      <c r="H33" s="5">
        <f>IFERROR(F33/E33*(1+G33),0)</f>
        <v/>
      </c>
    </row>
    <row r="34">
      <c r="A34" s="5" t="n"/>
      <c r="B34" s="5" t="n"/>
      <c r="C34" s="5" t="n"/>
      <c r="D34" s="5" t="n"/>
      <c r="E34" s="5" t="n"/>
      <c r="F34" s="5" t="n"/>
      <c r="G34" s="5" t="n"/>
      <c r="H34" s="5">
        <f>IFERROR(F34/E34*(1+G34),0)</f>
        <v/>
      </c>
    </row>
    <row r="35">
      <c r="A35" s="5" t="n"/>
      <c r="B35" s="5" t="n"/>
      <c r="C35" s="5" t="n"/>
      <c r="D35" s="5" t="n"/>
      <c r="E35" s="5" t="n"/>
      <c r="F35" s="5" t="n"/>
      <c r="G35" s="5" t="n"/>
      <c r="H35" s="5">
        <f>IFERROR(F35/E35*(1+G35),0)</f>
        <v/>
      </c>
    </row>
    <row r="36">
      <c r="A36" s="5" t="n"/>
      <c r="B36" s="5" t="n"/>
      <c r="C36" s="5" t="n"/>
      <c r="D36" s="5" t="n"/>
      <c r="E36" s="5" t="n"/>
      <c r="F36" s="5" t="n"/>
      <c r="G36" s="5" t="n"/>
      <c r="H36" s="5">
        <f>IFERROR(F36/E36*(1+G36),0)</f>
        <v/>
      </c>
    </row>
    <row r="37">
      <c r="A37" s="5" t="n"/>
      <c r="B37" s="5" t="n"/>
      <c r="C37" s="5" t="n"/>
      <c r="D37" s="5" t="n"/>
      <c r="E37" s="5" t="n"/>
      <c r="F37" s="5" t="n"/>
      <c r="G37" s="5" t="n"/>
      <c r="H37" s="5">
        <f>IFERROR(F37/E37*(1+G37),0)</f>
        <v/>
      </c>
    </row>
    <row r="38">
      <c r="A38" s="5" t="n"/>
      <c r="B38" s="5" t="n"/>
      <c r="C38" s="5" t="n"/>
      <c r="D38" s="5" t="n"/>
      <c r="E38" s="5" t="n"/>
      <c r="F38" s="5" t="n"/>
      <c r="G38" s="5" t="n"/>
      <c r="H38" s="5">
        <f>IFERROR(F38/E38*(1+G38),0)</f>
        <v/>
      </c>
    </row>
    <row r="39">
      <c r="A39" s="5" t="n"/>
      <c r="B39" s="5" t="n"/>
      <c r="C39" s="5" t="n"/>
      <c r="D39" s="5" t="n"/>
      <c r="E39" s="5" t="n"/>
      <c r="F39" s="5" t="n"/>
      <c r="G39" s="5" t="n"/>
      <c r="H39" s="5">
        <f>IFERROR(F39/E39*(1+G39),0)</f>
        <v/>
      </c>
    </row>
    <row r="41" ht="56" customHeight="1">
      <c r="A41" s="2" t="inlineStr">
        <is>
          <t>Priority score = Importance ÷ Challenge × (1 + %Mastered) — matches the original spreadsheet exactly. This is intentional, not a bug: it's part of the spaced-repetition framework — material you've already mastered still needs quick, high-priority review passes to lock in retention, so it stays in the active queue rather than dropping off once you know it. Sort this table descending on Priority score to get study order.</t>
        </is>
      </c>
    </row>
  </sheetData>
  <mergeCells count="5">
    <mergeCell ref="A1:H1"/>
    <mergeCell ref="A3:H3"/>
    <mergeCell ref="A41:H41"/>
    <mergeCell ref="A5:H5"/>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6" customWidth="1" min="1" max="1"/>
    <col width="50" customWidth="1" min="2" max="2"/>
    <col width="6" customWidth="1" min="3" max="3"/>
    <col width="6" customWidth="1" min="4" max="4"/>
    <col width="6" customWidth="1" min="5" max="5"/>
    <col width="6" customWidth="1" min="6" max="6"/>
    <col width="6" customWidth="1" min="7" max="7"/>
    <col width="6" customWidth="1" min="8" max="8"/>
  </cols>
  <sheetData>
    <row r="1" ht="28" customHeight="1">
      <c r="A1" s="1" t="inlineStr">
        <is>
          <t>Phase 2: Lock it In</t>
        </is>
      </c>
    </row>
    <row r="3" ht="28" customHeight="1">
      <c r="A3" s="2" t="inlineStr">
        <is>
          <t>Not a technique — a commitment ritual. State the goal, name the reward, name the obstacles, then choose ≥2 locking mechanisms and generate a commitment message.</t>
        </is>
      </c>
    </row>
    <row r="5">
      <c r="A5" s="3" t="inlineStr">
        <is>
          <t>Goal statement</t>
        </is>
      </c>
    </row>
    <row r="6" ht="18" customHeight="1">
      <c r="A6" s="4" t="inlineStr">
        <is>
          <t>My goal is to:</t>
        </is>
      </c>
      <c r="B6" s="5" t="n"/>
    </row>
    <row r="7" ht="18" customHeight="1">
      <c r="A7" s="4" t="inlineStr">
        <is>
          <t>I will study for (minutes/day):</t>
        </is>
      </c>
      <c r="B7" s="5" t="n"/>
    </row>
    <row r="8" ht="18" customHeight="1">
      <c r="A8" s="4" t="inlineStr">
        <is>
          <t>Days per week:</t>
        </is>
      </c>
      <c r="B8" s="5" t="n"/>
    </row>
    <row r="9" ht="18" customHeight="1">
      <c r="A9" s="4" t="inlineStr">
        <is>
          <t>For (# weeks):</t>
        </is>
      </c>
      <c r="B9" s="5" t="n"/>
    </row>
    <row r="10" ht="18" customHeight="1">
      <c r="A10" s="4" t="inlineStr">
        <is>
          <t>My reward for reaching this goal is:</t>
        </is>
      </c>
      <c r="B10" s="5" t="n"/>
    </row>
    <row r="11" ht="18" customHeight="1">
      <c r="A11" s="4" t="inlineStr">
        <is>
          <t>The main obstacle(s) are:</t>
        </is>
      </c>
      <c r="B11" s="5" t="n"/>
    </row>
    <row r="13">
      <c r="A13" s="3" t="inlineStr">
        <is>
          <t>Locking mechanisms (pick ≥2)</t>
        </is>
      </c>
    </row>
    <row r="14">
      <c r="A14" s="6" t="inlineStr">
        <is>
          <t>Mechanism</t>
        </is>
      </c>
      <c r="B14" s="6" t="inlineStr">
        <is>
          <t>Using it? (Y/N)</t>
        </is>
      </c>
    </row>
    <row r="15">
      <c r="A15" s="5" t="inlineStr">
        <is>
          <t>Focusmate</t>
        </is>
      </c>
      <c r="B15" s="5" t="n"/>
    </row>
    <row r="16">
      <c r="A16" s="5" t="inlineStr">
        <is>
          <t>PowerUp Calls</t>
        </is>
      </c>
      <c r="B16" s="5" t="n"/>
    </row>
    <row r="17">
      <c r="A17" s="5" t="inlineStr">
        <is>
          <t>Written reports</t>
        </is>
      </c>
      <c r="B17" s="5" t="n"/>
    </row>
    <row r="18">
      <c r="A18" s="5" t="inlineStr">
        <is>
          <t>Publicizing</t>
        </is>
      </c>
      <c r="B18" s="5" t="n"/>
    </row>
    <row r="19">
      <c r="A19" s="5" t="inlineStr">
        <is>
          <t>Coaching</t>
        </is>
      </c>
      <c r="B19" s="5" t="n"/>
    </row>
    <row r="20">
      <c r="A20" s="5" t="inlineStr">
        <is>
          <t>Accountability partner(s)</t>
        </is>
      </c>
      <c r="B20" s="5" t="n"/>
    </row>
    <row r="21">
      <c r="A21" s="5" t="inlineStr">
        <is>
          <t>Vision board</t>
        </is>
      </c>
      <c r="B21" s="5" t="n"/>
    </row>
    <row r="22">
      <c r="A22" s="5" t="inlineStr">
        <is>
          <t>Habit tracker</t>
        </is>
      </c>
      <c r="B22" s="5" t="n"/>
    </row>
    <row r="23">
      <c r="A23" s="5" t="inlineStr">
        <is>
          <t>Journaling</t>
        </is>
      </c>
      <c r="B23" s="5" t="n"/>
    </row>
    <row r="24">
      <c r="A24" s="5" t="inlineStr">
        <is>
          <t>Self-betting / investment</t>
        </is>
      </c>
      <c r="B24" s="5" t="n"/>
    </row>
    <row r="25">
      <c r="A25" s="5" t="inlineStr">
        <is>
          <t>Anti-incentives</t>
        </is>
      </c>
      <c r="B25" s="5" t="n"/>
    </row>
    <row r="26">
      <c r="A26" s="5" t="inlineStr">
        <is>
          <t>Competition</t>
        </is>
      </c>
      <c r="B26" s="5" t="n"/>
    </row>
    <row r="27">
      <c r="A27" s="5" t="inlineStr">
        <is>
          <t>Fail-safes</t>
        </is>
      </c>
      <c r="B27" s="5" t="n"/>
    </row>
    <row r="28">
      <c r="A28" s="5" t="inlineStr">
        <is>
          <t>Descheduling</t>
        </is>
      </c>
      <c r="B28" s="5" t="n"/>
    </row>
    <row r="30">
      <c r="A30" s="3" t="inlineStr">
        <is>
          <t>Lock-in message (share with your accountability partner)</t>
        </is>
      </c>
    </row>
    <row r="31" ht="84" customHeight="1">
      <c r="A31" s="7" t="inlineStr">
        <is>
          <t>Hey [name], I am officially taking action on a major goal of mine. I am sending this message as a public commitment. You do not need to respond, but if you would like to help keep me accountable, let me know — I would really appreciate it! My goal is to [goal]. I am going to study for [minutes]/day for [days]/week for [weeks] weeks. My reward for reaching this goal is [reward]. The main obstacle(s) are [obstacles], and I will overcome those using [locking mechanisms]. Thank you for supporting me — let me know if you have any goals you are pursuing and I would be happy to return the favor!</t>
        </is>
      </c>
    </row>
  </sheetData>
  <mergeCells count="6">
    <mergeCell ref="A3:H3"/>
    <mergeCell ref="A30:B30"/>
    <mergeCell ref="A5:B5"/>
    <mergeCell ref="A13:B13"/>
    <mergeCell ref="A1:H1"/>
    <mergeCell ref="A31:B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s>
  <sheetData>
    <row r="1" ht="28" customHeight="1">
      <c r="A1" s="1" t="inlineStr">
        <is>
          <t>Phase 3: Map it Out</t>
        </is>
      </c>
    </row>
    <row r="3" ht="28" customHeight="1">
      <c r="A3" s="2" t="inlineStr">
        <is>
          <t>Mind mapping is drawing out a neural network of new ideas, concepts, and details — non-linear, so it can show connections ACROSS branches instead of just within one, unlike a flat outline.</t>
        </is>
      </c>
    </row>
    <row r="5">
      <c r="A5" s="3" t="inlineStr">
        <is>
          <t>Roll-up from Phase 1</t>
        </is>
      </c>
    </row>
    <row r="6">
      <c r="A6" s="6" t="inlineStr">
        <is>
          <t>Metric</t>
        </is>
      </c>
      <c r="B6" s="6" t="inlineStr">
        <is>
          <t>Value</t>
        </is>
      </c>
      <c r="C6" s="6" t="inlineStr"/>
      <c r="D6" s="6" t="inlineStr"/>
    </row>
    <row r="7">
      <c r="A7" s="5" t="inlineStr">
        <is>
          <t>Total sections</t>
        </is>
      </c>
      <c r="B7" s="5">
        <f>COUNTA('Phase 1 - Break it Down'!B10:B39)</f>
        <v/>
      </c>
    </row>
    <row r="8">
      <c r="A8" s="5" t="inlineStr">
        <is>
          <t>Total subsections</t>
        </is>
      </c>
      <c r="B8" s="5">
        <f>SUM('Phase 1 - Break it Down'!C10:C39)</f>
        <v/>
      </c>
    </row>
    <row r="9">
      <c r="A9" s="5" t="inlineStr">
        <is>
          <t>Avg. importance</t>
        </is>
      </c>
      <c r="B9" s="5">
        <f>IFERROR(AVERAGE('Phase 1 - Break it Down'!F9:F38),0)</f>
        <v/>
      </c>
    </row>
    <row r="10">
      <c r="A10" s="5" t="inlineStr">
        <is>
          <t>Avg. challenge</t>
        </is>
      </c>
      <c r="B10" s="5">
        <f>IFERROR(AVERAGE('Phase 1 - Break it Down'!E9:E38),0)</f>
        <v/>
      </c>
    </row>
    <row r="12">
      <c r="A12" s="3" t="inlineStr">
        <is>
          <t>Mind map</t>
        </is>
      </c>
    </row>
    <row r="13" ht="42" customHeight="1">
      <c r="A13" s="2" t="inlineStr">
        <is>
          <t>Draw or link your mind map here (Coggle, XMind, or a photo of a hand-drawn map). Branch from the central subject out to each Group, then Section, then key Details — connect related branches across the map wherever ideas actually relate, not just where the outline says they should.</t>
        </is>
      </c>
    </row>
    <row r="16">
      <c r="A16" s="4" t="inlineStr">
        <is>
          <t>Mind map link/embed:</t>
        </is>
      </c>
      <c r="B16" s="5" t="n"/>
    </row>
  </sheetData>
  <mergeCells count="5">
    <mergeCell ref="A1:D1"/>
    <mergeCell ref="A5:D5"/>
    <mergeCell ref="A12:D12"/>
    <mergeCell ref="A3:D3"/>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8" customWidth="1" min="1" max="1"/>
    <col width="60" customWidth="1" min="2" max="2"/>
    <col width="10" customWidth="1" min="3" max="3"/>
    <col width="10" customWidth="1" min="4" max="4"/>
  </cols>
  <sheetData>
    <row r="1" ht="28" customHeight="1">
      <c r="A1" s="1" t="inlineStr">
        <is>
          <t>Phase 4: Make it Simple</t>
        </is>
      </c>
    </row>
    <row r="3" ht="42" customHeight="1">
      <c r="A3" s="2" t="inlineStr">
        <is>
          <t>The Feynman Technique: state the topic, ask the big questions, list the key points, find analogies, then explain it to an imaginary student in plain language. Where you get stuck IS the gap — go back to the source and simplify again.</t>
        </is>
      </c>
    </row>
    <row r="5">
      <c r="A5" s="4" t="inlineStr">
        <is>
          <t>Topic:</t>
        </is>
      </c>
      <c r="B5" s="5" t="n"/>
    </row>
    <row r="7">
      <c r="A7" s="3" t="inlineStr">
        <is>
          <t>3 big questions</t>
        </is>
      </c>
    </row>
    <row r="8">
      <c r="A8" s="4" t="inlineStr">
        <is>
          <t>1.</t>
        </is>
      </c>
      <c r="B8" s="5" t="n"/>
    </row>
    <row r="9">
      <c r="A9" s="4" t="inlineStr">
        <is>
          <t>2.</t>
        </is>
      </c>
      <c r="B9" s="5" t="n"/>
    </row>
    <row r="10">
      <c r="A10" s="4" t="inlineStr">
        <is>
          <t>3.</t>
        </is>
      </c>
      <c r="B10" s="5" t="n"/>
    </row>
    <row r="12">
      <c r="A12" s="3" t="inlineStr">
        <is>
          <t>Points and key (up to 7)</t>
        </is>
      </c>
    </row>
    <row r="13">
      <c r="A13" s="4" t="inlineStr">
        <is>
          <t>1.</t>
        </is>
      </c>
      <c r="B13" s="5" t="n"/>
    </row>
    <row r="14">
      <c r="A14" s="4" t="inlineStr">
        <is>
          <t>2.</t>
        </is>
      </c>
      <c r="B14" s="5" t="n"/>
    </row>
    <row r="15">
      <c r="A15" s="4" t="inlineStr">
        <is>
          <t>3.</t>
        </is>
      </c>
      <c r="B15" s="5" t="n"/>
    </row>
    <row r="16">
      <c r="A16" s="4" t="inlineStr">
        <is>
          <t>4.</t>
        </is>
      </c>
      <c r="B16" s="5" t="n"/>
    </row>
    <row r="17">
      <c r="A17" s="4" t="inlineStr">
        <is>
          <t>5.</t>
        </is>
      </c>
      <c r="B17" s="5" t="n"/>
    </row>
    <row r="18">
      <c r="A18" s="4" t="inlineStr">
        <is>
          <t>6.</t>
        </is>
      </c>
      <c r="B18" s="5" t="n"/>
    </row>
    <row r="19">
      <c r="A19" s="4" t="inlineStr">
        <is>
          <t>7.</t>
        </is>
      </c>
      <c r="B19" s="5" t="n"/>
    </row>
    <row r="21">
      <c r="A21" s="3" t="inlineStr">
        <is>
          <t>Analogies, metaphors &amp; examples</t>
        </is>
      </c>
    </row>
    <row r="22">
      <c r="A22" s="8" t="n"/>
    </row>
    <row r="23"/>
    <row r="24"/>
    <row r="26">
      <c r="A26" s="3" t="inlineStr">
        <is>
          <t>Explain it to your “student” (teach-back)</t>
        </is>
      </c>
    </row>
    <row r="27">
      <c r="A27" s="8" t="n"/>
    </row>
    <row r="28"/>
    <row r="29"/>
    <row r="30"/>
  </sheetData>
  <mergeCells count="18">
    <mergeCell ref="B10:D10"/>
    <mergeCell ref="A1:D1"/>
    <mergeCell ref="B19:D19"/>
    <mergeCell ref="B14:D14"/>
    <mergeCell ref="A12:D12"/>
    <mergeCell ref="B8:D8"/>
    <mergeCell ref="A3:D3"/>
    <mergeCell ref="A21:D21"/>
    <mergeCell ref="A26:D26"/>
    <mergeCell ref="B17:D17"/>
    <mergeCell ref="B9:D9"/>
    <mergeCell ref="A7:D7"/>
    <mergeCell ref="B13:D13"/>
    <mergeCell ref="B18:D18"/>
    <mergeCell ref="B15:D15"/>
    <mergeCell ref="B16:D16"/>
    <mergeCell ref="A27:D30"/>
    <mergeCell ref="A22:D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 t="inlineStr">
        <is>
          <t>Phase 5: Make it Stick</t>
        </is>
      </c>
    </row>
    <row r="3" ht="56" customHeight="1">
      <c r="A3" s="2" t="inlineStr">
        <is>
          <t>Forgetting is exponential (Ebbinghaus) — spaced repetition is the countermeasure. Loading strategy does NOT change per-card review intervals; it changes how many NEW items you introduce at each of 8 checkpoints across your study window. All three curves total the same amount of material (X Factor = 16.35) — only the shape of introduction differs. The final 2 of 10 equal time-slices are reserved as pure review/buffer (no new items).</t>
        </is>
      </c>
    </row>
    <row r="5">
      <c r="A5" s="4" t="inlineStr">
        <is>
          <t>Experience level:</t>
        </is>
      </c>
      <c r="B5" s="5" t="inlineStr">
        <is>
          <t>Beginner</t>
        </is>
      </c>
      <c r="D5" s="4" t="inlineStr">
        <is>
          <t>Total cards in bank:</t>
        </is>
      </c>
      <c r="E5" s="5" t="n">
        <v>166</v>
      </c>
    </row>
    <row r="7">
      <c r="A7" s="3" t="inlineStr">
        <is>
          <t>Loading curves (X multiple per checkpoint, 8 checkpoints)</t>
        </is>
      </c>
    </row>
    <row r="8">
      <c r="A8" s="6" t="inlineStr">
        <is>
          <t>Checkpoint</t>
        </is>
      </c>
      <c r="B8" s="6" t="inlineStr">
        <is>
          <t>1</t>
        </is>
      </c>
      <c r="C8" s="6" t="inlineStr">
        <is>
          <t>2</t>
        </is>
      </c>
      <c r="D8" s="6" t="inlineStr">
        <is>
          <t>3</t>
        </is>
      </c>
      <c r="E8" s="6" t="inlineStr">
        <is>
          <t>4</t>
        </is>
      </c>
      <c r="F8" s="6" t="inlineStr">
        <is>
          <t>5</t>
        </is>
      </c>
      <c r="G8" s="6" t="inlineStr">
        <is>
          <t>6</t>
        </is>
      </c>
      <c r="H8" s="6" t="inlineStr">
        <is>
          <t>7</t>
        </is>
      </c>
      <c r="I8" s="6" t="inlineStr">
        <is>
          <t>8</t>
        </is>
      </c>
    </row>
    <row r="9">
      <c r="A9" s="9" t="inlineStr">
        <is>
          <t>Beginner (Back-loaded)</t>
        </is>
      </c>
      <c r="B9" s="10" t="n">
        <v>1</v>
      </c>
      <c r="C9" s="10" t="n">
        <v>1.25</v>
      </c>
      <c r="D9" s="10" t="n">
        <v>1.6</v>
      </c>
      <c r="E9" s="10" t="n">
        <v>2</v>
      </c>
      <c r="F9" s="10" t="n">
        <v>3</v>
      </c>
      <c r="G9" s="10" t="n">
        <v>3</v>
      </c>
      <c r="H9" s="10" t="n">
        <v>2.5</v>
      </c>
      <c r="I9" s="10" t="n">
        <v>2</v>
      </c>
    </row>
    <row r="10">
      <c r="A10" s="9" t="inlineStr">
        <is>
          <t>Intermediate (Level-loaded)</t>
        </is>
      </c>
      <c r="B10" s="10" t="n">
        <v>2.04375</v>
      </c>
      <c r="C10" s="10" t="n">
        <v>2.04375</v>
      </c>
      <c r="D10" s="10" t="n">
        <v>2.04375</v>
      </c>
      <c r="E10" s="10" t="n">
        <v>2.04375</v>
      </c>
      <c r="F10" s="10" t="n">
        <v>2.04375</v>
      </c>
      <c r="G10" s="10" t="n">
        <v>2.04375</v>
      </c>
      <c r="H10" s="10" t="n">
        <v>2.04375</v>
      </c>
      <c r="I10" s="10" t="n">
        <v>2.04375</v>
      </c>
    </row>
    <row r="11">
      <c r="A11" s="9" t="inlineStr">
        <is>
          <t>Advanced (Front-loaded)</t>
        </is>
      </c>
      <c r="B11" s="10" t="n">
        <v>2</v>
      </c>
      <c r="C11" s="10" t="n">
        <v>2.5</v>
      </c>
      <c r="D11" s="10" t="n">
        <v>3</v>
      </c>
      <c r="E11" s="10" t="n">
        <v>3</v>
      </c>
      <c r="F11" s="10" t="n">
        <v>2</v>
      </c>
      <c r="G11" s="10" t="n">
        <v>1.6</v>
      </c>
      <c r="H11" s="10" t="n">
        <v>1.25</v>
      </c>
      <c r="I11" s="10" t="n">
        <v>1</v>
      </c>
    </row>
    <row r="13">
      <c r="A13" s="4" t="inlineStr">
        <is>
          <t>Active curve (by level above):</t>
        </is>
      </c>
      <c r="B13" s="10">
        <f>CHOOSE(MATCH($B$5,{"Beginner","Intermediate","Advanced"},0),B9,B10,B11)</f>
        <v/>
      </c>
      <c r="C13" s="10">
        <f>CHOOSE(MATCH($B$5,{"Beginner","Intermediate","Advanced"},0),C9,C10,C11)</f>
        <v/>
      </c>
      <c r="D13" s="10">
        <f>CHOOSE(MATCH($B$5,{"Beginner","Intermediate","Advanced"},0),D9,D10,D11)</f>
        <v/>
      </c>
      <c r="E13" s="10">
        <f>CHOOSE(MATCH($B$5,{"Beginner","Intermediate","Advanced"},0),E9,E10,E11)</f>
        <v/>
      </c>
      <c r="F13" s="10">
        <f>CHOOSE(MATCH($B$5,{"Beginner","Intermediate","Advanced"},0),F9,F10,F11)</f>
        <v/>
      </c>
      <c r="G13" s="10">
        <f>CHOOSE(MATCH($B$5,{"Beginner","Intermediate","Advanced"},0),G9,G10,G11)</f>
        <v/>
      </c>
      <c r="H13" s="10">
        <f>CHOOSE(MATCH($B$5,{"Beginner","Intermediate","Advanced"},0),H9,H10,H11)</f>
        <v/>
      </c>
      <c r="I13" s="10">
        <f>CHOOSE(MATCH($B$5,{"Beginner","Intermediate","Advanced"},0),I9,I10,I11)</f>
        <v/>
      </c>
    </row>
    <row r="14">
      <c r="A14" s="4" t="inlineStr">
        <is>
          <t>X Factor (sum, all curves equal):</t>
        </is>
      </c>
      <c r="B14" s="5">
        <f>SUM(B9:I9)</f>
        <v/>
      </c>
    </row>
    <row r="16">
      <c r="A16" s="3" t="inlineStr">
        <is>
          <t>New-card intake schedule</t>
        </is>
      </c>
    </row>
    <row r="17">
      <c r="A17" s="6" t="inlineStr">
        <is>
          <t>Checkpoint</t>
        </is>
      </c>
      <c r="B17" s="6" t="inlineStr">
        <is>
          <t>Cumulative X</t>
        </is>
      </c>
      <c r="C17" s="6" t="inlineStr">
        <is>
          <t>% of bank introduced</t>
        </is>
      </c>
      <c r="D17" s="6" t="inlineStr">
        <is>
          <t>New cards this checkpoint</t>
        </is>
      </c>
      <c r="E17" s="6" t="inlineStr">
        <is>
          <t>Cumulative new cards</t>
        </is>
      </c>
      <c r="F17" s="6" t="inlineStr"/>
      <c r="G17" s="6" t="inlineStr"/>
      <c r="H17" s="6" t="inlineStr"/>
      <c r="I17" s="6" t="inlineStr"/>
    </row>
    <row r="18">
      <c r="A18" s="5" t="n">
        <v>1</v>
      </c>
      <c r="B18" s="5">
        <f>SUM($B$13:B$13)</f>
        <v/>
      </c>
      <c r="C18" s="11">
        <f>B18/$B$14</f>
        <v/>
      </c>
      <c r="D18" s="5">
        <f>E18</f>
        <v/>
      </c>
      <c r="E18" s="5">
        <f>ROUND($E$5*C18,0)</f>
        <v/>
      </c>
    </row>
    <row r="19">
      <c r="A19" s="5" t="n">
        <v>2</v>
      </c>
      <c r="B19" s="5">
        <f>SUM($B$13:C$13)</f>
        <v/>
      </c>
      <c r="C19" s="11">
        <f>B19/$B$14</f>
        <v/>
      </c>
      <c r="D19" s="5">
        <f>E19-E18</f>
        <v/>
      </c>
      <c r="E19" s="5">
        <f>ROUND($E$5*C19,0)</f>
        <v/>
      </c>
    </row>
    <row r="20">
      <c r="A20" s="5" t="n">
        <v>3</v>
      </c>
      <c r="B20" s="5">
        <f>SUM($B$13:D$13)</f>
        <v/>
      </c>
      <c r="C20" s="11">
        <f>B20/$B$14</f>
        <v/>
      </c>
      <c r="D20" s="5">
        <f>E20-E19</f>
        <v/>
      </c>
      <c r="E20" s="5">
        <f>ROUND($E$5*C20,0)</f>
        <v/>
      </c>
    </row>
    <row r="21">
      <c r="A21" s="5" t="n">
        <v>4</v>
      </c>
      <c r="B21" s="5">
        <f>SUM($B$13:E$13)</f>
        <v/>
      </c>
      <c r="C21" s="11">
        <f>B21/$B$14</f>
        <v/>
      </c>
      <c r="D21" s="5">
        <f>E21-E20</f>
        <v/>
      </c>
      <c r="E21" s="5">
        <f>ROUND($E$5*C21,0)</f>
        <v/>
      </c>
    </row>
    <row r="22">
      <c r="A22" s="5" t="n">
        <v>5</v>
      </c>
      <c r="B22" s="5">
        <f>SUM($B$13:F$13)</f>
        <v/>
      </c>
      <c r="C22" s="11">
        <f>B22/$B$14</f>
        <v/>
      </c>
      <c r="D22" s="5">
        <f>E22-E21</f>
        <v/>
      </c>
      <c r="E22" s="5">
        <f>ROUND($E$5*C22,0)</f>
        <v/>
      </c>
    </row>
    <row r="23">
      <c r="A23" s="5" t="n">
        <v>6</v>
      </c>
      <c r="B23" s="5">
        <f>SUM($B$13:G$13)</f>
        <v/>
      </c>
      <c r="C23" s="11">
        <f>B23/$B$14</f>
        <v/>
      </c>
      <c r="D23" s="5">
        <f>E23-E22</f>
        <v/>
      </c>
      <c r="E23" s="5">
        <f>ROUND($E$5*C23,0)</f>
        <v/>
      </c>
    </row>
    <row r="24">
      <c r="A24" s="5" t="n">
        <v>7</v>
      </c>
      <c r="B24" s="5">
        <f>SUM($B$13:H$13)</f>
        <v/>
      </c>
      <c r="C24" s="11">
        <f>B24/$B$14</f>
        <v/>
      </c>
      <c r="D24" s="5">
        <f>E24-E23</f>
        <v/>
      </c>
      <c r="E24" s="5">
        <f>ROUND($E$5*C24,0)</f>
        <v/>
      </c>
    </row>
    <row r="25">
      <c r="A25" s="5" t="n">
        <v>8</v>
      </c>
      <c r="B25" s="5">
        <f>SUM($B$13:I$13)</f>
        <v/>
      </c>
      <c r="C25" s="11">
        <f>B25/$B$14</f>
        <v/>
      </c>
      <c r="D25" s="5">
        <f>E25-E24</f>
        <v/>
      </c>
      <c r="E25" s="5">
        <f>ROUND($E$5*C25,0)</f>
        <v/>
      </c>
    </row>
    <row r="27" ht="42" customHeight="1">
      <c r="A27" s="2" t="inlineStr">
        <is>
          <t>App implementation: this table is the reference model for build/quiz-template.html's newCardCapToday() — see .planning/SUPERLEARN-SPEC.md §5.2 for the exact JS. The app gates isDue() for never-started cards only; started cards keep their normal SM-2 schedule untouched.</t>
        </is>
      </c>
    </row>
  </sheetData>
  <mergeCells count="5">
    <mergeCell ref="A7:I7"/>
    <mergeCell ref="A1:I1"/>
    <mergeCell ref="A27:I27"/>
    <mergeCell ref="A3:I3"/>
    <mergeCell ref="A16:I16"/>
  </mergeCells>
  <dataValidations count="1">
    <dataValidation sqref="B5" showDropDown="0" showInputMessage="0" showErrorMessage="0" allowBlank="0" type="list">
      <formula1>"Beginner,Intermediate,Advanced"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8" customWidth="1" min="1" max="1"/>
    <col width="70" customWidth="1" min="2" max="2"/>
  </cols>
  <sheetData>
    <row r="1" ht="28" customHeight="1">
      <c r="A1" s="1" t="inlineStr">
        <is>
          <t>Phase 6: Make it Real</t>
        </is>
      </c>
    </row>
    <row r="3" ht="18" customHeight="1">
      <c r="A3" s="2" t="inlineStr">
        <is>
          <t>You have the foundational knowledge — now apply it. Write a 5–10 point application strategy.</t>
        </is>
      </c>
    </row>
    <row r="5">
      <c r="A5" s="3" t="inlineStr">
        <is>
          <t>Application strategy</t>
        </is>
      </c>
    </row>
    <row r="6">
      <c r="A6" s="12" t="n">
        <v>1</v>
      </c>
      <c r="B6" s="5" t="n"/>
    </row>
    <row r="7">
      <c r="A7" s="12" t="n">
        <v>2</v>
      </c>
      <c r="B7" s="5" t="n"/>
    </row>
    <row r="8">
      <c r="A8" s="12" t="n">
        <v>3</v>
      </c>
      <c r="B8" s="5" t="n"/>
    </row>
    <row r="9">
      <c r="A9" s="12" t="n">
        <v>4</v>
      </c>
      <c r="B9" s="5" t="n"/>
    </row>
    <row r="10">
      <c r="A10" s="12" t="n">
        <v>5</v>
      </c>
      <c r="B10" s="5" t="n"/>
    </row>
    <row r="11">
      <c r="A11" s="12" t="n">
        <v>6</v>
      </c>
      <c r="B11" s="5" t="n"/>
    </row>
    <row r="12">
      <c r="A12" s="12" t="n">
        <v>7</v>
      </c>
      <c r="B12" s="5" t="n"/>
    </row>
    <row r="13">
      <c r="A13" s="12" t="n">
        <v>8</v>
      </c>
      <c r="B13" s="5" t="n"/>
    </row>
    <row r="14">
      <c r="A14" s="12" t="n">
        <v>9</v>
      </c>
      <c r="B14" s="5" t="n"/>
    </row>
    <row r="15">
      <c r="A15" s="12" t="n">
        <v>10</v>
      </c>
      <c r="B15" s="5" t="n"/>
    </row>
    <row r="17">
      <c r="A17" s="3" t="inlineStr">
        <is>
          <t>Build exercises (this repo)</t>
        </is>
      </c>
    </row>
    <row r="18" ht="18" customHeight="1">
      <c r="A18" s="7" t="inlineStr">
        <is>
          <t>exercises/exercise-1-2-agent-and-claude-code.md — apply Domain 1-2 concepts hands-on.</t>
        </is>
      </c>
    </row>
    <row r="19" ht="18" customHeight="1">
      <c r="A19" s="7" t="inlineStr">
        <is>
          <t>exercises/exercise-3-4-extraction-and-research.md — apply Domain 3-4 concepts hands-on.</t>
        </is>
      </c>
    </row>
  </sheetData>
  <mergeCells count="6">
    <mergeCell ref="A19:B19"/>
    <mergeCell ref="A5:B5"/>
    <mergeCell ref="A1:B1"/>
    <mergeCell ref="A17:B17"/>
    <mergeCell ref="A18:B18"/>
    <mergeCell ref="A3:B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 customWidth="1" min="1" max="1"/>
    <col width="70" customWidth="1" min="2" max="2"/>
  </cols>
  <sheetData>
    <row r="1" ht="28" customHeight="1">
      <c r="A1" s="1" t="inlineStr">
        <is>
          <t>Phase 7: Make it Yours</t>
        </is>
      </c>
    </row>
    <row r="3" ht="18" customHeight="1">
      <c r="A3" s="2" t="inlineStr">
        <is>
          <t>Review and reflect on your study experience. Consider, but don't limit yourself to, these questions.</t>
        </is>
      </c>
    </row>
    <row r="5" ht="30" customHeight="1">
      <c r="A5" s="12" t="n">
        <v>1</v>
      </c>
      <c r="B5" s="13" t="inlineStr">
        <is>
          <t>Did you achieve the goal you originally set out to reach?</t>
        </is>
      </c>
    </row>
    <row r="6" ht="40" customHeight="1">
      <c r="A6" s="5" t="n"/>
      <c r="B6" s="5" t="n"/>
    </row>
    <row r="7" ht="30" customHeight="1">
      <c r="A7" s="12" t="n">
        <v>2</v>
      </c>
      <c r="B7" s="13" t="inlineStr">
        <is>
          <t>If not, did you fail, or did the goal change? Why?</t>
        </is>
      </c>
    </row>
    <row r="8" ht="40" customHeight="1">
      <c r="A8" s="5" t="n"/>
      <c r="B8" s="5" t="n"/>
    </row>
    <row r="9" ht="30" customHeight="1">
      <c r="A9" s="12" t="n">
        <v>3</v>
      </c>
      <c r="B9" s="13" t="inlineStr">
        <is>
          <t>Knowing what you know now, what would you have done differently?</t>
        </is>
      </c>
    </row>
    <row r="10" ht="40" customHeight="1">
      <c r="A10" s="5" t="n"/>
      <c r="B10" s="5" t="n"/>
    </row>
    <row r="11" ht="30" customHeight="1">
      <c r="A11" s="12" t="n">
        <v>4</v>
      </c>
      <c r="B11" s="13" t="inlineStr">
        <is>
          <t>Did your Lock-In approach (Phase 2) work?</t>
        </is>
      </c>
    </row>
    <row r="12" ht="40" customHeight="1">
      <c r="A12" s="5" t="n"/>
      <c r="B12" s="5" t="n"/>
    </row>
    <row r="13" ht="30" customHeight="1">
      <c r="A13" s="12" t="n">
        <v>5</v>
      </c>
      <c r="B13" s="13" t="inlineStr">
        <is>
          <t>What obstacles did you not anticipate? Why?</t>
        </is>
      </c>
    </row>
    <row r="14" ht="40" customHeight="1">
      <c r="A14" s="5" t="n"/>
      <c r="B14" s="5" t="n"/>
    </row>
    <row r="15" ht="30" customHeight="1">
      <c r="A15" s="12" t="n">
        <v>6</v>
      </c>
      <c r="B15" s="13" t="inlineStr">
        <is>
          <t>How will you approach similar projects in the future?</t>
        </is>
      </c>
    </row>
    <row r="16" ht="40" customHeight="1">
      <c r="A16" s="5" t="n"/>
      <c r="B16" s="5" t="n"/>
    </row>
    <row r="17" ht="30" customHeight="1">
      <c r="A17" s="12" t="n">
        <v>7</v>
      </c>
      <c r="B17" s="13" t="inlineStr">
        <is>
          <t>How would you coach someone with a similar goal?</t>
        </is>
      </c>
    </row>
    <row r="18" ht="40" customHeight="1">
      <c r="A18" s="5" t="n"/>
      <c r="B18" s="5" t="n"/>
    </row>
    <row r="19" ht="30" customHeight="1">
      <c r="A19" s="12" t="n">
        <v>8</v>
      </c>
      <c r="B19" s="13" t="inlineStr">
        <is>
          <t>What habit was/would be critical to success?</t>
        </is>
      </c>
    </row>
    <row r="20" ht="40" customHeight="1">
      <c r="A20" s="5" t="n"/>
      <c r="B20" s="5" t="n"/>
    </row>
    <row r="21" ht="30" customHeight="1">
      <c r="A21" s="12" t="n">
        <v>9</v>
      </c>
      <c r="B21" s="13" t="inlineStr">
        <is>
          <t>Who would benefit from knowing what you know now?</t>
        </is>
      </c>
    </row>
    <row r="22" ht="40" customHeight="1">
      <c r="A22" s="5" t="n"/>
      <c r="B22" s="5" t="n"/>
    </row>
    <row r="23" ht="30" customHeight="1">
      <c r="A23" s="12" t="n">
        <v>10</v>
      </c>
      <c r="B23" s="13" t="inlineStr">
        <is>
          <t>Was it worth it — was this the right thing to have studied? (effectiveness, not just efficiency)</t>
        </is>
      </c>
    </row>
    <row r="24" ht="40" customHeight="1">
      <c r="A24" s="5" t="n"/>
      <c r="B24" s="5" t="n"/>
    </row>
  </sheetData>
  <mergeCells count="2">
    <mergeCell ref="A3:B3"/>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34" customWidth="1" min="2" max="2"/>
    <col width="34" customWidth="1" min="3" max="3"/>
  </cols>
  <sheetData>
    <row r="1" ht="28" customHeight="1">
      <c r="A1" s="1" t="inlineStr">
        <is>
          <t>Levels of Learning — Ackoff's ladder</t>
        </is>
      </c>
    </row>
    <row r="3" ht="42" customHeight="1">
      <c r="A3" s="2" t="inlineStr">
        <is>
          <t>Source: Turning Learning Right Side Up: Putting Education Back on Track (Ackoff &amp; Greenberg, 2008). “The content of human minds — and therefore what can be learned — falls into five classes: data, information, knowledge, understanding, and wisdom. They are not equally valuable.”</t>
        </is>
      </c>
    </row>
    <row r="5">
      <c r="A5" s="6" t="inlineStr">
        <is>
          <t>Level</t>
        </is>
      </c>
      <c r="B5" s="6" t="inlineStr">
        <is>
          <t>Answers</t>
        </is>
      </c>
      <c r="C5" s="6" t="inlineStr">
        <is>
          <t>Definition</t>
        </is>
      </c>
    </row>
    <row r="6" ht="34" customHeight="1">
      <c r="A6" s="9" t="inlineStr">
        <is>
          <t>Data</t>
        </is>
      </c>
      <c r="B6" s="14" t="inlineStr">
        <is>
          <t>—</t>
        </is>
      </c>
      <c r="C6" s="14" t="inlineStr">
        <is>
          <t>Symbols representing properties of objects/events (e.g. a street address).</t>
        </is>
      </c>
    </row>
    <row r="7" ht="34" customHeight="1">
      <c r="A7" s="9" t="inlineStr">
        <is>
          <t>Information</t>
        </is>
      </c>
      <c r="B7" s="14" t="inlineStr">
        <is>
          <t>who / where / when / how many</t>
        </is>
      </c>
      <c r="C7" s="14" t="inlineStr">
        <is>
          <t>Data processed to make it useful. “Data is to information as iron ore is to iron.”</t>
        </is>
      </c>
    </row>
    <row r="8" ht="34" customHeight="1">
      <c r="A8" s="9" t="inlineStr">
        <is>
          <t>Knowledge</t>
        </is>
      </c>
      <c r="B8" s="14" t="inlineStr">
        <is>
          <t>how</t>
        </is>
      </c>
      <c r="C8" s="14" t="inlineStr">
        <is>
          <t>Instructions — e.g. how to get from Philadelphia to New York.</t>
        </is>
      </c>
    </row>
    <row r="9" ht="34" customHeight="1">
      <c r="A9" s="9" t="inlineStr">
        <is>
          <t>Understanding</t>
        </is>
      </c>
      <c r="B9" s="14" t="inlineStr">
        <is>
          <t>why</t>
        </is>
      </c>
      <c r="C9" s="14" t="inlineStr">
        <is>
          <t>Explanations — retrospective (what caused it) or prospective (what it's for). This is the CCAF tool's teach-back target.</t>
        </is>
      </c>
    </row>
    <row r="10" ht="34" customHeight="1">
      <c r="A10" s="9" t="inlineStr">
        <is>
          <t>Wisdom</t>
        </is>
      </c>
      <c r="B10" s="14" t="inlineStr">
        <is>
          <t>is it worth it?</t>
        </is>
      </c>
      <c r="C10" s="14" t="inlineStr">
        <is>
          <t>Not efficiency (doing things right) but effectiveness (doing the right thing) — weighs long-term vs. short-term consequences and the value of the goal itself.</t>
        </is>
      </c>
    </row>
    <row r="12" ht="42" customHeight="1">
      <c r="A12" s="2" t="inlineStr">
        <is>
          <t>“An ounce of wisdom is worth 65,536 ounces of data and 4,096 ounces of information” — yet most educational systems allocate nearly all their time to transmitting information, a little to knowledge, almost nothing to understanding, and nothing to wisdom.</t>
        </is>
      </c>
    </row>
    <row r="13" ht="42" customHeight="1">
      <c r="A13" s="2" t="inlineStr">
        <is>
          <t>Retrospective vs. prospective explanation: retrospective answers “what caused X” (looking back — his mother sent him to the store); prospective answers “what is X for” (looking forward — he went to get food for dinner). Both are “why” — understanding needs both directions.</t>
        </is>
      </c>
    </row>
    <row r="14" ht="28" customHeight="1">
      <c r="A14" s="2" t="inlineStr">
        <is>
          <t>David's framing: “I want to be able to talk about WHY I know the answers.” That's the understanding rung — the design target for Phase 4 teach-back.</t>
        </is>
      </c>
    </row>
  </sheetData>
  <mergeCells count="5">
    <mergeCell ref="A13:C13"/>
    <mergeCell ref="A1:C1"/>
    <mergeCell ref="A14:C14"/>
    <mergeCell ref="A3:C3"/>
    <mergeCell ref="A12:C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8" customWidth="1" min="1" max="1"/>
    <col width="74" customWidth="1" min="2" max="2"/>
  </cols>
  <sheetData>
    <row r="1" ht="28" customHeight="1">
      <c r="A1" s="1" t="inlineStr">
        <is>
          <t>Personal Learning Systems</t>
        </is>
      </c>
    </row>
    <row r="3" ht="42" customHeight="1">
      <c r="A3" s="2" t="inlineStr">
        <is>
          <t>“Effectiveness is the degree to which the action(s) taken contribute to the goal — an effective action is the right action. Efficiency is the ratio of meaningful output to resources expended — an efficient action is an action done right.” — Collin Jewett, Out of Your Wheelhouse, 2019</t>
        </is>
      </c>
    </row>
    <row r="5">
      <c r="A5" s="3" t="inlineStr">
        <is>
          <t>1. Identify / select learning pursuit</t>
        </is>
      </c>
    </row>
    <row r="6" ht="28" customHeight="1">
      <c r="A6" s="5" t="n"/>
      <c r="B6" s="8" t="inlineStr">
        <is>
          <t>Hoarder vs. Hunter vs. Hobbyist: is this just-in-case, just-in-time, or just-for-fun?</t>
        </is>
      </c>
    </row>
    <row r="7" ht="28" customHeight="1">
      <c r="A7" s="5" t="n"/>
      <c r="B7" s="8" t="inlineStr">
        <is>
          <t>What is the problem I'm trying to solve, and is it worth solving?</t>
        </is>
      </c>
    </row>
    <row r="8" ht="28" customHeight="1">
      <c r="A8" s="5" t="n"/>
      <c r="B8" s="8" t="inlineStr">
        <is>
          <t>Should I be the one solving it? If not, who should?</t>
        </is>
      </c>
    </row>
    <row r="9" ht="28" customHeight="1">
      <c r="A9" s="5" t="n"/>
      <c r="B9" s="8" t="inlineStr">
        <is>
          <t>What are my success criteria — at what point will I be satisfied?</t>
        </is>
      </c>
    </row>
    <row r="10" ht="28" customHeight="1">
      <c r="A10" s="5" t="n"/>
      <c r="B10" s="8" t="inlineStr">
        <is>
          <t>What do I have to say “no” to, to say “yes” to this?</t>
        </is>
      </c>
    </row>
    <row r="11" ht="28" customHeight="1">
      <c r="A11" s="5" t="n"/>
      <c r="B11" s="8" t="inlineStr">
        <is>
          <t>How long should I work on this before re-evaluating whether it's worth it?</t>
        </is>
      </c>
    </row>
    <row r="13">
      <c r="A13" s="3" t="inlineStr">
        <is>
          <t>2. Identify / select resources &amp; learning tasks</t>
        </is>
      </c>
    </row>
    <row r="14" ht="28" customHeight="1">
      <c r="A14" s="5" t="n"/>
      <c r="B14" s="8" t="inlineStr">
        <is>
          <t>“How can I [X] in [absurdly short timeline]?” — google this before any other research.</t>
        </is>
      </c>
    </row>
    <row r="15" ht="28" customHeight="1">
      <c r="A15" s="5" t="n"/>
      <c r="B15" s="8" t="inlineStr">
        <is>
          <t>Has someone else already done this? What can I learn from their approach/mistakes?</t>
        </is>
      </c>
    </row>
    <row r="16" ht="28" customHeight="1">
      <c r="A16" s="5" t="n"/>
      <c r="B16" s="8" t="inlineStr">
        <is>
          <t>Who are the experts? Do they agree, or are there competing perspectives?</t>
        </is>
      </c>
    </row>
    <row r="17" ht="28" customHeight="1">
      <c r="A17" s="5" t="n"/>
      <c r="B17" s="8" t="inlineStr">
        <is>
          <t>What types of resources do I prefer (books, video, audio, courses, live coaching)?</t>
        </is>
      </c>
    </row>
    <row r="18" ht="28" customHeight="1">
      <c r="A18" s="5" t="n"/>
      <c r="B18" s="8" t="inlineStr">
        <is>
          <t>What would materials perfectly tailored to me look like? Could I build my own from several sources?</t>
        </is>
      </c>
    </row>
    <row r="20">
      <c r="A20" s="3" t="inlineStr">
        <is>
          <t>3. Consume resources / perform tasks</t>
        </is>
      </c>
    </row>
    <row r="21" ht="28" customHeight="1">
      <c r="A21" s="5" t="n"/>
      <c r="B21" s="8" t="inlineStr">
        <is>
          <t>What questions should I be asking? What's the fastest way to the result I want?</t>
        </is>
      </c>
    </row>
    <row r="22" ht="28" customHeight="1">
      <c r="A22" s="5" t="n"/>
      <c r="B22" s="8" t="inlineStr">
        <is>
          <t>Which tools should I use, and in what order — mind mapping, memory palaces, SQ3R, chunking?</t>
        </is>
      </c>
    </row>
    <row r="23" ht="28" customHeight="1">
      <c r="A23" s="5" t="n"/>
      <c r="B23" s="8" t="inlineStr">
        <is>
          <t>Should I use different tools for different tasks/resources? (probably)</t>
        </is>
      </c>
    </row>
    <row r="25">
      <c r="A25" s="3" t="inlineStr">
        <is>
          <t>4. Maintain and apply knowledge</t>
        </is>
      </c>
    </row>
    <row r="26" ht="28" customHeight="1">
      <c r="A26" s="5" t="n"/>
      <c r="B26" s="8" t="inlineStr">
        <is>
          <t>Do I need to remember this perfectly, forever — or will repeated application do it naturally?</t>
        </is>
      </c>
    </row>
    <row r="27" ht="28" customHeight="1">
      <c r="A27" s="5" t="n"/>
      <c r="B27" s="8" t="inlineStr">
        <is>
          <t>How can I use spaced repetition to cement this? Does it have to be drills/flashcards?</t>
        </is>
      </c>
    </row>
    <row r="28" ht="28" customHeight="1">
      <c r="A28" s="5" t="n"/>
      <c r="B28" s="8" t="inlineStr">
        <is>
          <t>Could I create opportunities to use this in my current routines?</t>
        </is>
      </c>
    </row>
    <row r="29" ht="28" customHeight="1">
      <c r="A29" s="5" t="n"/>
      <c r="B29" s="8" t="inlineStr">
        <is>
          <t>Is there anyone I could teach this to, for my own benefit and theirs? (Feynman / teach-back)</t>
        </is>
      </c>
    </row>
    <row r="30" ht="28" customHeight="1">
      <c r="A30" s="5" t="n"/>
      <c r="B30" s="8" t="inlineStr">
        <is>
          <t>How does this relate to other topics/ideas? (lateral thinking speeds mastery of new subjects)</t>
        </is>
      </c>
    </row>
  </sheetData>
  <mergeCells count="6">
    <mergeCell ref="A20:B20"/>
    <mergeCell ref="A25:B25"/>
    <mergeCell ref="A5:B5"/>
    <mergeCell ref="A13:B13"/>
    <mergeCell ref="A1:B1"/>
    <mergeCell ref="A3:B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74" customWidth="1" min="2" max="2"/>
  </cols>
  <sheetData>
    <row r="1" ht="28" customHeight="1">
      <c r="A1" s="1" t="inlineStr">
        <is>
          <t>SuperHuman Life — accountability framework</t>
        </is>
      </c>
    </row>
    <row r="3" ht="42" customHeight="1">
      <c r="A3" s="2" t="inlineStr">
        <is>
          <t>Concepts distilled from David's own peer-coaching program (roster/schedule omitted — those are personal to the group, not reusable reference material). This is the lived, working version of Phase 2's “locking mechanisms.”</t>
        </is>
      </c>
    </row>
    <row r="5">
      <c r="A5" s="3" t="inlineStr">
        <is>
          <t>The Tetraud — 4 roles, one accountability pod</t>
        </is>
      </c>
    </row>
    <row r="6" ht="28" customHeight="1">
      <c r="A6" s="7" t="inlineStr">
        <is>
          <t>“Tetraud” = 4 listeners, named for the tetrahedron: regardless of which face is down, the peak vertex is held up by the other 3. A session runs under an hour; roles rotate each session.</t>
        </is>
      </c>
    </row>
    <row r="8" ht="48" customHeight="1">
      <c r="A8" s="9" t="inlineStr">
        <is>
          <t>The Hero</t>
        </is>
      </c>
      <c r="B8" s="8" t="inlineStr">
        <is>
          <t>Defines the purpose and direction of the journey. Must be vulnerable, honest, coachable, courageous — articulates inner desires and obstacles, and leaves with a clear next action.</t>
        </is>
      </c>
    </row>
    <row r="9" ht="48" customHeight="1">
      <c r="A9" s="9" t="inlineStr">
        <is>
          <t>The Coach</t>
        </is>
      </c>
      <c r="B9" s="8" t="inlineStr">
        <is>
          <t>Asks questions and reacts honestly to help the Hero articulate the next step — never gives advice. Fully present, curious enough to interrupt if the dialogue stalls.</t>
        </is>
      </c>
    </row>
    <row r="10" ht="48" customHeight="1">
      <c r="A10" s="9" t="inlineStr">
        <is>
          <t>The Helper</t>
        </is>
      </c>
      <c r="B10" s="8" t="inlineStr">
        <is>
          <t>Accountability partner and sidekick. Listens for committed action items, takes notes, follows up with the Hero outside the session. Kind, humble, reliable.</t>
        </is>
      </c>
    </row>
    <row r="11" ht="48" customHeight="1">
      <c r="A11" s="9" t="inlineStr">
        <is>
          <t>The Advisor</t>
        </is>
      </c>
      <c r="B11" s="8" t="inlineStr">
        <is>
          <t>Provides wisdom and an outside perspective the Hero may be blind to — the only role that gives advice, and only after listening through most of the session.</t>
        </is>
      </c>
    </row>
    <row r="13">
      <c r="A13" s="3" t="inlineStr">
        <is>
          <t>Presentations vs. Learning Labs</t>
        </is>
      </c>
    </row>
    <row r="14" ht="42" customHeight="1">
      <c r="A14" s="7" t="inlineStr">
        <is>
          <t>Presentation: one person shares what they've learned and asks for evaluative feedback (“this worked / didn't work,” not “good/bad”). A powerful way to deepen understanding using the FEYNMAN TECHNIQUE — presenting should help the audience identify something they couldn't before.</t>
        </is>
      </c>
    </row>
    <row r="15" ht="28" customHeight="1">
      <c r="A15" s="7" t="inlineStr">
        <is>
          <t>Learning Lab: a facilitated exercise where participants learn by DOING — &lt;10% explanation, &gt;90% active practice.</t>
        </is>
      </c>
    </row>
    <row r="17">
      <c r="A17" s="3" t="inlineStr">
        <is>
          <t>Cross-reference</t>
        </is>
      </c>
    </row>
    <row r="18" ht="28" customHeight="1">
      <c r="A18" s="7" t="inlineStr">
        <is>
          <t>See .planning/SUPERLEARN-SPEC.md §2 (Phase 2 — Lock it In) and §4 (Phase 4 — Make it Simple) for how these map onto the CCAF study hub.</t>
        </is>
      </c>
    </row>
  </sheetData>
  <mergeCells count="9">
    <mergeCell ref="A15:B15"/>
    <mergeCell ref="A5:B5"/>
    <mergeCell ref="A13:B13"/>
    <mergeCell ref="A14:B14"/>
    <mergeCell ref="A1:B1"/>
    <mergeCell ref="A17:B17"/>
    <mergeCell ref="A18:B18"/>
    <mergeCell ref="A3:B3"/>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2026-07-12T21:14:23Z</dcterms:created>
  <dcterms:modified xmlns:dcterms="http://purl.org/dc/terms/" xmlns:xsi="http://www.w3.org/2001/XMLSchema-instance" xsi:type="dcterms:W3CDTF">2026-07-12T21:14:23Z</dcterms:modified>
</cp:coreProperties>
</file>