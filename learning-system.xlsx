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ase 1 - Break it Down" sheetId="1" state="visible" r:id="rId1"/>
    <sheet xmlns:r="http://schemas.openxmlformats.org/officeDocument/2006/relationships" name="Phase 2 - Lock it In" sheetId="2" state="visible" r:id="rId2"/>
    <sheet xmlns:r="http://schemas.openxmlformats.org/officeDocument/2006/relationships" name="Phase 3 - Map it Out" sheetId="3" state="visible" r:id="rId3"/>
    <sheet xmlns:r="http://schemas.openxmlformats.org/officeDocument/2006/relationships" name="Phase 4 - Make it Simple" sheetId="4" state="visible" r:id="rId4"/>
    <sheet xmlns:r="http://schemas.openxmlformats.org/officeDocument/2006/relationships" name="Phase 5 - Make it Stick" sheetId="5" state="visible" r:id="rId5"/>
    <sheet xmlns:r="http://schemas.openxmlformats.org/officeDocument/2006/relationships" name="Phase 6 - Make it Real" sheetId="6" state="visible" r:id="rId6"/>
    <sheet xmlns:r="http://schemas.openxmlformats.org/officeDocument/2006/relationships" name="Phase 7 - Make it Yours" sheetId="7" state="visible" r:id="rId7"/>
    <sheet xmlns:r="http://schemas.openxmlformats.org/officeDocument/2006/relationships" name="Levels of Learning" sheetId="8" state="visible" r:id="rId8"/>
    <sheet xmlns:r="http://schemas.openxmlformats.org/officeDocument/2006/relationships" name="Personal Learning Systems" sheetId="9" state="visible" r:id="rId9"/>
    <sheet xmlns:r="http://schemas.openxmlformats.org/officeDocument/2006/relationships" name="SuperHuman Lif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95959"/>
      <sz val="10"/>
    </font>
    <font>
      <name val="Calibri"/>
      <b val="1"/>
      <color rgb="001F3864"/>
      <sz val="11"/>
    </font>
    <font>
      <name val="Calibri"/>
      <b val="1"/>
      <sz val="10"/>
    </font>
    <font>
      <b val="1"/>
      <color rgb="001F3864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top" wrapText="1" indent="1"/>
    </xf>
    <xf numFmtId="0" fontId="3" fillId="3" borderId="0" applyAlignment="1" pivotButton="0" quotePrefix="0" xfId="0">
      <alignment vertical="center" indent="1"/>
    </xf>
    <xf numFmtId="0" fontId="4" fillId="0" borderId="0" pivotButton="0" quotePrefix="0" xfId="0"/>
    <xf numFmtId="0" fontId="0" fillId="0" borderId="1" pivotButton="0" quotePrefix="0" xfId="0"/>
    <xf numFmtId="0" fontId="5" fillId="3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 indent="1"/>
    </xf>
    <xf numFmtId="0" fontId="0" fillId="0" borderId="1" applyAlignment="1" pivotButton="0" quotePrefix="0" xfId="0">
      <alignment vertical="top" wrapText="1"/>
    </xf>
    <xf numFmtId="0" fontId="4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</cols>
  <sheetData>
    <row r="1" ht="30" customHeight="1">
      <c r="A1" s="1" t="inlineStr">
        <is>
          <t>Phase 1: Break it Down</t>
        </is>
      </c>
    </row>
    <row r="3" ht="56" customHeight="1">
      <c r="A3" s="2" t="inlineStr">
        <is>
          <t>Decompose the subject into Groups → Sections → Subsections → Pages → Details. Pre-read each unit at 5–8× your normal speed — skim only titles, sub-headings, proper nouns, and numbers to build a rough mental map before the real read (80/20 rule: ~20% of the details buy ~80% of the orientation you need). For dense material, pre-reading matters MORE, not less.</t>
        </is>
      </c>
    </row>
    <row r="5">
      <c r="A5" s="3" t="inlineStr">
        <is>
          <t>Study window</t>
        </is>
      </c>
    </row>
    <row r="6">
      <c r="A6" s="4" t="inlineStr">
        <is>
          <t>Study start date:</t>
        </is>
      </c>
      <c r="B6" s="5" t="n"/>
      <c r="C6" s="4" t="inlineStr">
        <is>
          <t>Target/exam date:</t>
        </is>
      </c>
      <c r="D6" s="5" t="n"/>
      <c r="E6" s="4" t="inlineStr">
        <is>
          <t>Study days/week:</t>
        </is>
      </c>
      <c r="F6" s="5" t="n"/>
    </row>
    <row r="8">
      <c r="A8" s="3" t="inlineStr">
        <is>
          <t>Decomposition + priority score</t>
        </is>
      </c>
    </row>
    <row r="9">
      <c r="A9" s="6" t="inlineStr">
        <is>
          <t>Group #</t>
        </is>
      </c>
      <c r="B9" s="6" t="inlineStr">
        <is>
          <t>Section name</t>
        </is>
      </c>
      <c r="C9" s="6" t="inlineStr">
        <is>
          <t># Subsections</t>
        </is>
      </c>
      <c r="D9" s="6" t="inlineStr">
        <is>
          <t>“Pages” /
Subsection</t>
        </is>
      </c>
      <c r="E9" s="6" t="inlineStr">
        <is>
          <t>Challenge
(1-5)</t>
        </is>
      </c>
      <c r="F9" s="6" t="inlineStr">
        <is>
          <t>Importance
(1-5)</t>
        </is>
      </c>
      <c r="G9" s="6" t="inlineStr">
        <is>
          <t>% Mastered</t>
        </is>
      </c>
      <c r="H9" s="6" t="inlineStr">
        <is>
          <t>Priority score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>
        <f>IFERROR(F10/E10*(1+(1-G10)),0)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>
        <f>IFERROR(F11/E11*(1+(1-G11)),0)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>
        <f>IFERROR(F12/E12*(1+(1-G12)),0)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>
        <f>IFERROR(F13/E13*(1+(1-G13)),0)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>
        <f>IFERROR(F14/E14*(1+(1-G14)),0)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>
        <f>IFERROR(F15/E15*(1+(1-G15)),0)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>
        <f>IFERROR(F16/E16*(1+(1-G16)),0)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>
        <f>IFERROR(F17/E17*(1+(1-G17)),0)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>
        <f>IFERROR(F18/E18*(1+(1-G18)),0)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>
        <f>IFERROR(F19/E19*(1+(1-G19)),0)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>
        <f>IFERROR(F20/E20*(1+(1-G20)),0)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>
        <f>IFERROR(F21/E21*(1+(1-G21)),0)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>
        <f>IFERROR(F22/E22*(1+(1-G22)),0)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>
        <f>IFERROR(F23/E23*(1+(1-G23)),0)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>
        <f>IFERROR(F24/E24*(1+(1-G24)),0)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>
        <f>IFERROR(F25/E25*(1+(1-G25)),0)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>
        <f>IFERROR(F26/E26*(1+(1-G26)),0)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>
        <f>IFERROR(F27/E27*(1+(1-G27)),0)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>
        <f>IFERROR(F28/E28*(1+(1-G28)),0)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>
        <f>IFERROR(F29/E29*(1+(1-G29)),0)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>
        <f>IFERROR(F30/E30*(1+(1-G30)),0)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>
        <f>IFERROR(F31/E31*(1+(1-G31)),0)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>
        <f>IFERROR(F32/E32*(1+(1-G32)),0)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>
        <f>IFERROR(F33/E33*(1+(1-G33)),0)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>
        <f>IFERROR(F34/E34*(1+(1-G34)),0)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>
        <f>IFERROR(F35/E35*(1+(1-G35)),0)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>
        <f>IFERROR(F36/E36*(1+(1-G36)),0)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>
        <f>IFERROR(F37/E37*(1+(1-G37)),0)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>
        <f>IFERROR(F38/E38*(1+(1-G38)),0)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>
        <f>IFERROR(F39/E39*(1+(1-G39)),0)</f>
        <v/>
      </c>
    </row>
    <row r="41" ht="42" customHeight="1">
      <c r="A41" s="2" t="inlineStr">
        <is>
          <t>Priority score = Importance ÷ Challenge × (1 + mastery gap) — note this is the inverse of the original spreadsheet's direction (which rewarded higher mastery); this version prioritizes what you know LEAST, weighted by how important and how hard it is. Sort this table descending on Priority score to get study order.</t>
        </is>
      </c>
    </row>
  </sheetData>
  <mergeCells count="5">
    <mergeCell ref="A1:H1"/>
    <mergeCell ref="A3:H3"/>
    <mergeCell ref="A41:H41"/>
    <mergeCell ref="A5:H5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6" customWidth="1" min="1" max="1"/>
    <col width="50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28" customHeight="1">
      <c r="A1" s="1" t="inlineStr">
        <is>
          <t>Phase 2: Lock it In</t>
        </is>
      </c>
    </row>
    <row r="3" ht="28" customHeight="1">
      <c r="A3" s="2" t="inlineStr">
        <is>
          <t>Not a technique — a commitment ritual. State the goal, name the reward, name the obstacles, then choose ≥2 locking mechanisms and generate a commitment message.</t>
        </is>
      </c>
    </row>
    <row r="5">
      <c r="A5" s="3" t="inlineStr">
        <is>
          <t>Goal statement</t>
        </is>
      </c>
    </row>
    <row r="6" ht="18" customHeight="1">
      <c r="A6" s="4" t="inlineStr">
        <is>
          <t>My goal is to:</t>
        </is>
      </c>
      <c r="B6" s="5" t="n"/>
    </row>
    <row r="7" ht="18" customHeight="1">
      <c r="A7" s="4" t="inlineStr">
        <is>
          <t>I will study for (minutes/day):</t>
        </is>
      </c>
      <c r="B7" s="5" t="n"/>
    </row>
    <row r="8" ht="18" customHeight="1">
      <c r="A8" s="4" t="inlineStr">
        <is>
          <t>Days per week:</t>
        </is>
      </c>
      <c r="B8" s="5" t="n"/>
    </row>
    <row r="9" ht="18" customHeight="1">
      <c r="A9" s="4" t="inlineStr">
        <is>
          <t>For (# weeks):</t>
        </is>
      </c>
      <c r="B9" s="5" t="n"/>
    </row>
    <row r="10" ht="18" customHeight="1">
      <c r="A10" s="4" t="inlineStr">
        <is>
          <t>My reward for reaching this goal is:</t>
        </is>
      </c>
      <c r="B10" s="5" t="n"/>
    </row>
    <row r="11" ht="18" customHeight="1">
      <c r="A11" s="4" t="inlineStr">
        <is>
          <t>The main obstacle(s) are:</t>
        </is>
      </c>
      <c r="B11" s="5" t="n"/>
    </row>
    <row r="13">
      <c r="A13" s="3" t="inlineStr">
        <is>
          <t>Locking mechanisms (pick ≥2)</t>
        </is>
      </c>
    </row>
    <row r="14">
      <c r="A14" s="6" t="inlineStr">
        <is>
          <t>Mechanism</t>
        </is>
      </c>
      <c r="B14" s="6" t="inlineStr">
        <is>
          <t>Using it? (Y/N)</t>
        </is>
      </c>
    </row>
    <row r="15">
      <c r="A15" s="5" t="inlineStr">
        <is>
          <t>Focusmate</t>
        </is>
      </c>
      <c r="B15" s="5" t="n"/>
    </row>
    <row r="16">
      <c r="A16" s="5" t="inlineStr">
        <is>
          <t>PowerUp Calls</t>
        </is>
      </c>
      <c r="B16" s="5" t="n"/>
    </row>
    <row r="17">
      <c r="A17" s="5" t="inlineStr">
        <is>
          <t>Written reports</t>
        </is>
      </c>
      <c r="B17" s="5" t="n"/>
    </row>
    <row r="18">
      <c r="A18" s="5" t="inlineStr">
        <is>
          <t>Publicizing</t>
        </is>
      </c>
      <c r="B18" s="5" t="n"/>
    </row>
    <row r="19">
      <c r="A19" s="5" t="inlineStr">
        <is>
          <t>Coaching</t>
        </is>
      </c>
      <c r="B19" s="5" t="n"/>
    </row>
    <row r="20">
      <c r="A20" s="5" t="inlineStr">
        <is>
          <t>Accountability partner(s)</t>
        </is>
      </c>
      <c r="B20" s="5" t="n"/>
    </row>
    <row r="21">
      <c r="A21" s="5" t="inlineStr">
        <is>
          <t>Vision board</t>
        </is>
      </c>
      <c r="B21" s="5" t="n"/>
    </row>
    <row r="22">
      <c r="A22" s="5" t="inlineStr">
        <is>
          <t>Habit tracker</t>
        </is>
      </c>
      <c r="B22" s="5" t="n"/>
    </row>
    <row r="23">
      <c r="A23" s="5" t="inlineStr">
        <is>
          <t>Journaling</t>
        </is>
      </c>
      <c r="B23" s="5" t="n"/>
    </row>
    <row r="24">
      <c r="A24" s="5" t="inlineStr">
        <is>
          <t>Self-betting / investment</t>
        </is>
      </c>
      <c r="B24" s="5" t="n"/>
    </row>
    <row r="25">
      <c r="A25" s="5" t="inlineStr">
        <is>
          <t>Anti-incentives</t>
        </is>
      </c>
      <c r="B25" s="5" t="n"/>
    </row>
    <row r="26">
      <c r="A26" s="5" t="inlineStr">
        <is>
          <t>Competition</t>
        </is>
      </c>
      <c r="B26" s="5" t="n"/>
    </row>
    <row r="27">
      <c r="A27" s="5" t="inlineStr">
        <is>
          <t>Fail-safes</t>
        </is>
      </c>
      <c r="B27" s="5" t="n"/>
    </row>
    <row r="28">
      <c r="A28" s="5" t="inlineStr">
        <is>
          <t>Descheduling</t>
        </is>
      </c>
      <c r="B28" s="5" t="n"/>
    </row>
    <row r="30">
      <c r="A30" s="3" t="inlineStr">
        <is>
          <t>Lock-in message (share with your accountability partner)</t>
        </is>
      </c>
    </row>
    <row r="31" ht="84" customHeight="1">
      <c r="A31" s="7" t="inlineStr">
        <is>
          <t>Hey [name], I am officially taking action on a major goal of mine. I am sending this message as a public commitment. You do not need to respond, but if you would like to help keep me accountable, let me know — I would really appreciate it! My goal is to [goal]. I am going to study for [minutes]/day for [days]/week for [weeks] weeks. My reward for reaching this goal is [reward]. The main obstacle(s) are [obstacles], and I will overcome those using [locking mechanisms]. Thank you for supporting me — let me know if you have any goals you are pursuing and I would be happy to return the favor!</t>
        </is>
      </c>
    </row>
  </sheetData>
  <mergeCells count="6">
    <mergeCell ref="A3:H3"/>
    <mergeCell ref="A30:B30"/>
    <mergeCell ref="A5:B5"/>
    <mergeCell ref="A13:B13"/>
    <mergeCell ref="A1:H1"/>
    <mergeCell ref="A31:B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 ht="28" customHeight="1">
      <c r="A1" s="1" t="inlineStr">
        <is>
          <t>Phase 3: Map it Out</t>
        </is>
      </c>
    </row>
    <row r="3" ht="28" customHeight="1">
      <c r="A3" s="2" t="inlineStr">
        <is>
          <t>Mind mapping is drawing out a neural network of new ideas, concepts, and details — non-linear, so it can show connections ACROSS branches instead of just within one, unlike a flat outline.</t>
        </is>
      </c>
    </row>
    <row r="5">
      <c r="A5" s="3" t="inlineStr">
        <is>
          <t>Roll-up from Phase 1</t>
        </is>
      </c>
    </row>
    <row r="6">
      <c r="A6" s="6" t="inlineStr">
        <is>
          <t>Metric</t>
        </is>
      </c>
      <c r="B6" s="6" t="inlineStr">
        <is>
          <t>Value</t>
        </is>
      </c>
      <c r="C6" s="6" t="inlineStr"/>
      <c r="D6" s="6" t="inlineStr"/>
    </row>
    <row r="7">
      <c r="A7" s="5" t="inlineStr">
        <is>
          <t>Total sections</t>
        </is>
      </c>
      <c r="B7" s="5">
        <f>COUNTA('Phase 1 - Break it Down'!B10:B39)</f>
        <v/>
      </c>
    </row>
    <row r="8">
      <c r="A8" s="5" t="inlineStr">
        <is>
          <t>Total subsections</t>
        </is>
      </c>
      <c r="B8" s="5">
        <f>SUM('Phase 1 - Break it Down'!C10:C39)</f>
        <v/>
      </c>
    </row>
    <row r="9">
      <c r="A9" s="5" t="inlineStr">
        <is>
          <t>Avg. importance</t>
        </is>
      </c>
      <c r="B9" s="5">
        <f>IFERROR(AVERAGE('Phase 1 - Break it Down'!F9:F38),0)</f>
        <v/>
      </c>
    </row>
    <row r="10">
      <c r="A10" s="5" t="inlineStr">
        <is>
          <t>Avg. challenge</t>
        </is>
      </c>
      <c r="B10" s="5">
        <f>IFERROR(AVERAGE('Phase 1 - Break it Down'!E9:E38),0)</f>
        <v/>
      </c>
    </row>
    <row r="12">
      <c r="A12" s="3" t="inlineStr">
        <is>
          <t>Mind map</t>
        </is>
      </c>
    </row>
    <row r="13" ht="42" customHeight="1">
      <c r="A13" s="2" t="inlineStr">
        <is>
          <t>Draw or link your mind map here (Coggle, XMind, or a photo of a hand-drawn map). Branch from the central subject out to each Group, then Section, then key Details — connect related branches across the map wherever ideas actually relate, not just where the outline says they should.</t>
        </is>
      </c>
    </row>
    <row r="16">
      <c r="A16" s="4" t="inlineStr">
        <is>
          <t>Mind map link/embed:</t>
        </is>
      </c>
      <c r="B16" s="5" t="n"/>
    </row>
  </sheetData>
  <mergeCells count="5">
    <mergeCell ref="A1:D1"/>
    <mergeCell ref="A5:D5"/>
    <mergeCell ref="A12:D12"/>
    <mergeCell ref="A3:D3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10" customWidth="1" min="3" max="3"/>
    <col width="10" customWidth="1" min="4" max="4"/>
  </cols>
  <sheetData>
    <row r="1" ht="28" customHeight="1">
      <c r="A1" s="1" t="inlineStr">
        <is>
          <t>Phase 4: Make it Simple</t>
        </is>
      </c>
    </row>
    <row r="3" ht="42" customHeight="1">
      <c r="A3" s="2" t="inlineStr">
        <is>
          <t>The Feynman Technique: state the topic, ask the big questions, list the key points, find analogies, then explain it to an imaginary student in plain language. Where you get stuck IS the gap — go back to the source and simplify again.</t>
        </is>
      </c>
    </row>
    <row r="5">
      <c r="A5" s="4" t="inlineStr">
        <is>
          <t>Topic:</t>
        </is>
      </c>
      <c r="B5" s="5" t="n"/>
    </row>
    <row r="7">
      <c r="A7" s="3" t="inlineStr">
        <is>
          <t>3 big questions</t>
        </is>
      </c>
    </row>
    <row r="8">
      <c r="A8" s="4" t="inlineStr">
        <is>
          <t>1.</t>
        </is>
      </c>
      <c r="B8" s="5" t="n"/>
    </row>
    <row r="9">
      <c r="A9" s="4" t="inlineStr">
        <is>
          <t>2.</t>
        </is>
      </c>
      <c r="B9" s="5" t="n"/>
    </row>
    <row r="10">
      <c r="A10" s="4" t="inlineStr">
        <is>
          <t>3.</t>
        </is>
      </c>
      <c r="B10" s="5" t="n"/>
    </row>
    <row r="12">
      <c r="A12" s="3" t="inlineStr">
        <is>
          <t>Points and key (up to 7)</t>
        </is>
      </c>
    </row>
    <row r="13">
      <c r="A13" s="4" t="inlineStr">
        <is>
          <t>1.</t>
        </is>
      </c>
      <c r="B13" s="5" t="n"/>
    </row>
    <row r="14">
      <c r="A14" s="4" t="inlineStr">
        <is>
          <t>2.</t>
        </is>
      </c>
      <c r="B14" s="5" t="n"/>
    </row>
    <row r="15">
      <c r="A15" s="4" t="inlineStr">
        <is>
          <t>3.</t>
        </is>
      </c>
      <c r="B15" s="5" t="n"/>
    </row>
    <row r="16">
      <c r="A16" s="4" t="inlineStr">
        <is>
          <t>4.</t>
        </is>
      </c>
      <c r="B16" s="5" t="n"/>
    </row>
    <row r="17">
      <c r="A17" s="4" t="inlineStr">
        <is>
          <t>5.</t>
        </is>
      </c>
      <c r="B17" s="5" t="n"/>
    </row>
    <row r="18">
      <c r="A18" s="4" t="inlineStr">
        <is>
          <t>6.</t>
        </is>
      </c>
      <c r="B18" s="5" t="n"/>
    </row>
    <row r="19">
      <c r="A19" s="4" t="inlineStr">
        <is>
          <t>7.</t>
        </is>
      </c>
      <c r="B19" s="5" t="n"/>
    </row>
    <row r="21">
      <c r="A21" s="3" t="inlineStr">
        <is>
          <t>Analogies, metaphors &amp; examples</t>
        </is>
      </c>
    </row>
    <row r="22">
      <c r="A22" s="8" t="n"/>
    </row>
    <row r="23"/>
    <row r="24"/>
    <row r="26">
      <c r="A26" s="3" t="inlineStr">
        <is>
          <t>Explain it to your “student” (teach-back)</t>
        </is>
      </c>
    </row>
    <row r="27">
      <c r="A27" s="8" t="n"/>
    </row>
    <row r="28"/>
    <row r="29"/>
    <row r="30"/>
  </sheetData>
  <mergeCells count="18">
    <mergeCell ref="B10:D10"/>
    <mergeCell ref="A1:D1"/>
    <mergeCell ref="B19:D19"/>
    <mergeCell ref="B14:D14"/>
    <mergeCell ref="A12:D12"/>
    <mergeCell ref="B8:D8"/>
    <mergeCell ref="A3:D3"/>
    <mergeCell ref="A21:D21"/>
    <mergeCell ref="A26:D26"/>
    <mergeCell ref="B17:D17"/>
    <mergeCell ref="B9:D9"/>
    <mergeCell ref="A7:D7"/>
    <mergeCell ref="B13:D13"/>
    <mergeCell ref="B18:D18"/>
    <mergeCell ref="B15:D15"/>
    <mergeCell ref="B16:D16"/>
    <mergeCell ref="A27:D30"/>
    <mergeCell ref="A22:D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Phase 5: Make it Stick</t>
        </is>
      </c>
    </row>
    <row r="3" ht="56" customHeight="1">
      <c r="A3" s="2" t="inlineStr">
        <is>
          <t>Forgetting is exponential (Ebbinghaus) — spaced repetition is the countermeasure. Loading strategy does NOT change per-card review intervals; it changes how many NEW items you introduce at each of 8 checkpoints across your study window. All three curves total the same amount of material (X Factor = 16.35) — only the shape of introduction differs. The final 2 of 10 equal time-slices are reserved as pure review/buffer (no new items).</t>
        </is>
      </c>
    </row>
    <row r="5">
      <c r="A5" s="4" t="inlineStr">
        <is>
          <t>Experience level:</t>
        </is>
      </c>
      <c r="B5" s="5" t="inlineStr">
        <is>
          <t>Beginner</t>
        </is>
      </c>
      <c r="D5" s="4" t="inlineStr">
        <is>
          <t>Total cards in bank:</t>
        </is>
      </c>
      <c r="E5" s="5" t="n">
        <v>166</v>
      </c>
    </row>
    <row r="7">
      <c r="A7" s="3" t="inlineStr">
        <is>
          <t>Loading curves (X multiple per checkpoint, 8 checkpoints)</t>
        </is>
      </c>
    </row>
    <row r="8">
      <c r="A8" s="6" t="inlineStr">
        <is>
          <t>Checkpoint</t>
        </is>
      </c>
      <c r="B8" s="6" t="inlineStr">
        <is>
          <t>1</t>
        </is>
      </c>
      <c r="C8" s="6" t="inlineStr">
        <is>
          <t>2</t>
        </is>
      </c>
      <c r="D8" s="6" t="inlineStr">
        <is>
          <t>3</t>
        </is>
      </c>
      <c r="E8" s="6" t="inlineStr">
        <is>
          <t>4</t>
        </is>
      </c>
      <c r="F8" s="6" t="inlineStr">
        <is>
          <t>5</t>
        </is>
      </c>
      <c r="G8" s="6" t="inlineStr">
        <is>
          <t>6</t>
        </is>
      </c>
      <c r="H8" s="6" t="inlineStr">
        <is>
          <t>7</t>
        </is>
      </c>
      <c r="I8" s="6" t="inlineStr">
        <is>
          <t>8</t>
        </is>
      </c>
    </row>
    <row r="9">
      <c r="A9" s="9" t="inlineStr">
        <is>
          <t>Beginner (Back-loaded)</t>
        </is>
      </c>
      <c r="B9" s="10" t="n">
        <v>1</v>
      </c>
      <c r="C9" s="10" t="n">
        <v>1.25</v>
      </c>
      <c r="D9" s="10" t="n">
        <v>1.6</v>
      </c>
      <c r="E9" s="10" t="n">
        <v>2</v>
      </c>
      <c r="F9" s="10" t="n">
        <v>3</v>
      </c>
      <c r="G9" s="10" t="n">
        <v>3</v>
      </c>
      <c r="H9" s="10" t="n">
        <v>2.5</v>
      </c>
      <c r="I9" s="10" t="n">
        <v>2</v>
      </c>
    </row>
    <row r="10">
      <c r="A10" s="9" t="inlineStr">
        <is>
          <t>Intermediate (Level-loaded)</t>
        </is>
      </c>
      <c r="B10" s="10" t="n">
        <v>2.04375</v>
      </c>
      <c r="C10" s="10" t="n">
        <v>2.04375</v>
      </c>
      <c r="D10" s="10" t="n">
        <v>2.04375</v>
      </c>
      <c r="E10" s="10" t="n">
        <v>2.04375</v>
      </c>
      <c r="F10" s="10" t="n">
        <v>2.04375</v>
      </c>
      <c r="G10" s="10" t="n">
        <v>2.04375</v>
      </c>
      <c r="H10" s="10" t="n">
        <v>2.04375</v>
      </c>
      <c r="I10" s="10" t="n">
        <v>2.04375</v>
      </c>
    </row>
    <row r="11">
      <c r="A11" s="9" t="inlineStr">
        <is>
          <t>Advanced (Front-loaded)</t>
        </is>
      </c>
      <c r="B11" s="10" t="n">
        <v>2</v>
      </c>
      <c r="C11" s="10" t="n">
        <v>2.5</v>
      </c>
      <c r="D11" s="10" t="n">
        <v>3</v>
      </c>
      <c r="E11" s="10" t="n">
        <v>3</v>
      </c>
      <c r="F11" s="10" t="n">
        <v>2</v>
      </c>
      <c r="G11" s="10" t="n">
        <v>1.6</v>
      </c>
      <c r="H11" s="10" t="n">
        <v>1.25</v>
      </c>
      <c r="I11" s="10" t="n">
        <v>1</v>
      </c>
    </row>
    <row r="13">
      <c r="A13" s="4" t="inlineStr">
        <is>
          <t>Active curve (by level above):</t>
        </is>
      </c>
      <c r="B13" s="10">
        <f>CHOOSE(MATCH($B$5,{"Beginner","Intermediate","Advanced"},0),B9,B10,B11)</f>
        <v/>
      </c>
      <c r="C13" s="10">
        <f>CHOOSE(MATCH($B$5,{"Beginner","Intermediate","Advanced"},0),C9,C10,C11)</f>
        <v/>
      </c>
      <c r="D13" s="10">
        <f>CHOOSE(MATCH($B$5,{"Beginner","Intermediate","Advanced"},0),D9,D10,D11)</f>
        <v/>
      </c>
      <c r="E13" s="10">
        <f>CHOOSE(MATCH($B$5,{"Beginner","Intermediate","Advanced"},0),E9,E10,E11)</f>
        <v/>
      </c>
      <c r="F13" s="10">
        <f>CHOOSE(MATCH($B$5,{"Beginner","Intermediate","Advanced"},0),F9,F10,F11)</f>
        <v/>
      </c>
      <c r="G13" s="10">
        <f>CHOOSE(MATCH($B$5,{"Beginner","Intermediate","Advanced"},0),G9,G10,G11)</f>
        <v/>
      </c>
      <c r="H13" s="10">
        <f>CHOOSE(MATCH($B$5,{"Beginner","Intermediate","Advanced"},0),H9,H10,H11)</f>
        <v/>
      </c>
      <c r="I13" s="10">
        <f>CHOOSE(MATCH($B$5,{"Beginner","Intermediate","Advanced"},0),I9,I10,I11)</f>
        <v/>
      </c>
    </row>
    <row r="14">
      <c r="A14" s="4" t="inlineStr">
        <is>
          <t>X Factor (sum, all curves equal):</t>
        </is>
      </c>
      <c r="B14" s="5">
        <f>SUM(B9:I9)</f>
        <v/>
      </c>
    </row>
    <row r="16">
      <c r="A16" s="3" t="inlineStr">
        <is>
          <t>New-card intake schedule</t>
        </is>
      </c>
    </row>
    <row r="17">
      <c r="A17" s="6" t="inlineStr">
        <is>
          <t>Checkpoint</t>
        </is>
      </c>
      <c r="B17" s="6" t="inlineStr">
        <is>
          <t>Cumulative X</t>
        </is>
      </c>
      <c r="C17" s="6" t="inlineStr">
        <is>
          <t>% of bank introduced</t>
        </is>
      </c>
      <c r="D17" s="6" t="inlineStr">
        <is>
          <t>New cards this checkpoint</t>
        </is>
      </c>
      <c r="E17" s="6" t="inlineStr">
        <is>
          <t>Cumulative new cards</t>
        </is>
      </c>
      <c r="F17" s="6" t="inlineStr"/>
      <c r="G17" s="6" t="inlineStr"/>
      <c r="H17" s="6" t="inlineStr"/>
      <c r="I17" s="6" t="inlineStr"/>
    </row>
    <row r="18">
      <c r="A18" s="5" t="n">
        <v>1</v>
      </c>
      <c r="B18" s="5">
        <f>SUM($B$13:B$13)</f>
        <v/>
      </c>
      <c r="C18" s="11">
        <f>B18/$B$14</f>
        <v/>
      </c>
      <c r="D18" s="5">
        <f>E18</f>
        <v/>
      </c>
      <c r="E18" s="5">
        <f>ROUND($E$5*C18,0)</f>
        <v/>
      </c>
    </row>
    <row r="19">
      <c r="A19" s="5" t="n">
        <v>2</v>
      </c>
      <c r="B19" s="5">
        <f>SUM($B$13:C$13)</f>
        <v/>
      </c>
      <c r="C19" s="11">
        <f>B19/$B$14</f>
        <v/>
      </c>
      <c r="D19" s="5">
        <f>E19-E18</f>
        <v/>
      </c>
      <c r="E19" s="5">
        <f>ROUND($E$5*C19,0)</f>
        <v/>
      </c>
    </row>
    <row r="20">
      <c r="A20" s="5" t="n">
        <v>3</v>
      </c>
      <c r="B20" s="5">
        <f>SUM($B$13:D$13)</f>
        <v/>
      </c>
      <c r="C20" s="11">
        <f>B20/$B$14</f>
        <v/>
      </c>
      <c r="D20" s="5">
        <f>E20-E19</f>
        <v/>
      </c>
      <c r="E20" s="5">
        <f>ROUND($E$5*C20,0)</f>
        <v/>
      </c>
    </row>
    <row r="21">
      <c r="A21" s="5" t="n">
        <v>4</v>
      </c>
      <c r="B21" s="5">
        <f>SUM($B$13:E$13)</f>
        <v/>
      </c>
      <c r="C21" s="11">
        <f>B21/$B$14</f>
        <v/>
      </c>
      <c r="D21" s="5">
        <f>E21-E20</f>
        <v/>
      </c>
      <c r="E21" s="5">
        <f>ROUND($E$5*C21,0)</f>
        <v/>
      </c>
    </row>
    <row r="22">
      <c r="A22" s="5" t="n">
        <v>5</v>
      </c>
      <c r="B22" s="5">
        <f>SUM($B$13:F$13)</f>
        <v/>
      </c>
      <c r="C22" s="11">
        <f>B22/$B$14</f>
        <v/>
      </c>
      <c r="D22" s="5">
        <f>E22-E21</f>
        <v/>
      </c>
      <c r="E22" s="5">
        <f>ROUND($E$5*C22,0)</f>
        <v/>
      </c>
    </row>
    <row r="23">
      <c r="A23" s="5" t="n">
        <v>6</v>
      </c>
      <c r="B23" s="5">
        <f>SUM($B$13:G$13)</f>
        <v/>
      </c>
      <c r="C23" s="11">
        <f>B23/$B$14</f>
        <v/>
      </c>
      <c r="D23" s="5">
        <f>E23-E22</f>
        <v/>
      </c>
      <c r="E23" s="5">
        <f>ROUND($E$5*C23,0)</f>
        <v/>
      </c>
    </row>
    <row r="24">
      <c r="A24" s="5" t="n">
        <v>7</v>
      </c>
      <c r="B24" s="5">
        <f>SUM($B$13:H$13)</f>
        <v/>
      </c>
      <c r="C24" s="11">
        <f>B24/$B$14</f>
        <v/>
      </c>
      <c r="D24" s="5">
        <f>E24-E23</f>
        <v/>
      </c>
      <c r="E24" s="5">
        <f>ROUND($E$5*C24,0)</f>
        <v/>
      </c>
    </row>
    <row r="25">
      <c r="A25" s="5" t="n">
        <v>8</v>
      </c>
      <c r="B25" s="5">
        <f>SUM($B$13:I$13)</f>
        <v/>
      </c>
      <c r="C25" s="11">
        <f>B25/$B$14</f>
        <v/>
      </c>
      <c r="D25" s="5">
        <f>E25-E24</f>
        <v/>
      </c>
      <c r="E25" s="5">
        <f>ROUND($E$5*C25,0)</f>
        <v/>
      </c>
    </row>
    <row r="27" ht="42" customHeight="1">
      <c r="A27" s="2" t="inlineStr">
        <is>
          <t>App implementation: this table is the reference model for build/quiz-template.html's newCardCapToday() — see .planning/SUPERLEARN-SPEC.md §5.2 for the exact JS. The app gates isDue() for never-started cards only; started cards keep their normal SM-2 schedule untouched.</t>
        </is>
      </c>
    </row>
  </sheetData>
  <mergeCells count="5">
    <mergeCell ref="A7:I7"/>
    <mergeCell ref="A1:I1"/>
    <mergeCell ref="A27:I27"/>
    <mergeCell ref="A3:I3"/>
    <mergeCell ref="A16:I16"/>
  </mergeCells>
  <dataValidations count="1">
    <dataValidation sqref="B5" showDropDown="0" showInputMessage="0" showErrorMessage="0" allowBlank="0" type="list">
      <formula1>"Beginner,Intermediate,Advanced"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</cols>
  <sheetData>
    <row r="1" ht="28" customHeight="1">
      <c r="A1" s="1" t="inlineStr">
        <is>
          <t>Phase 6: Make it Real</t>
        </is>
      </c>
    </row>
    <row r="3" ht="18" customHeight="1">
      <c r="A3" s="2" t="inlineStr">
        <is>
          <t>You have the foundational knowledge — now apply it. Write a 5–10 point application strategy.</t>
        </is>
      </c>
    </row>
    <row r="5">
      <c r="A5" s="3" t="inlineStr">
        <is>
          <t>Application strategy</t>
        </is>
      </c>
    </row>
    <row r="6">
      <c r="A6" s="12" t="n">
        <v>1</v>
      </c>
      <c r="B6" s="5" t="n"/>
    </row>
    <row r="7">
      <c r="A7" s="12" t="n">
        <v>2</v>
      </c>
      <c r="B7" s="5" t="n"/>
    </row>
    <row r="8">
      <c r="A8" s="12" t="n">
        <v>3</v>
      </c>
      <c r="B8" s="5" t="n"/>
    </row>
    <row r="9">
      <c r="A9" s="12" t="n">
        <v>4</v>
      </c>
      <c r="B9" s="5" t="n"/>
    </row>
    <row r="10">
      <c r="A10" s="12" t="n">
        <v>5</v>
      </c>
      <c r="B10" s="5" t="n"/>
    </row>
    <row r="11">
      <c r="A11" s="12" t="n">
        <v>6</v>
      </c>
      <c r="B11" s="5" t="n"/>
    </row>
    <row r="12">
      <c r="A12" s="12" t="n">
        <v>7</v>
      </c>
      <c r="B12" s="5" t="n"/>
    </row>
    <row r="13">
      <c r="A13" s="12" t="n">
        <v>8</v>
      </c>
      <c r="B13" s="5" t="n"/>
    </row>
    <row r="14">
      <c r="A14" s="12" t="n">
        <v>9</v>
      </c>
      <c r="B14" s="5" t="n"/>
    </row>
    <row r="15">
      <c r="A15" s="12" t="n">
        <v>10</v>
      </c>
      <c r="B15" s="5" t="n"/>
    </row>
    <row r="17">
      <c r="A17" s="3" t="inlineStr">
        <is>
          <t>Build exercises (this repo)</t>
        </is>
      </c>
    </row>
    <row r="18" ht="18" customHeight="1">
      <c r="A18" s="7" t="inlineStr">
        <is>
          <t>exercises/exercise-1-2-agent-and-claude-code.md — apply Domain 1-2 concepts hands-on.</t>
        </is>
      </c>
    </row>
    <row r="19" ht="18" customHeight="1">
      <c r="A19" s="7" t="inlineStr">
        <is>
          <t>exercises/exercise-3-4-extraction-and-research.md — apply Domain 3-4 concepts hands-on.</t>
        </is>
      </c>
    </row>
  </sheetData>
  <mergeCells count="6">
    <mergeCell ref="A19:B19"/>
    <mergeCell ref="A5:B5"/>
    <mergeCell ref="A1:B1"/>
    <mergeCell ref="A17:B17"/>
    <mergeCell ref="A18:B18"/>
    <mergeCell ref="A3:B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</cols>
  <sheetData>
    <row r="1" ht="28" customHeight="1">
      <c r="A1" s="1" t="inlineStr">
        <is>
          <t>Phase 7: Make it Yours</t>
        </is>
      </c>
    </row>
    <row r="3" ht="18" customHeight="1">
      <c r="A3" s="2" t="inlineStr">
        <is>
          <t>Review and reflect on your study experience. Consider, but don't limit yourself to, these questions.</t>
        </is>
      </c>
    </row>
    <row r="5" ht="30" customHeight="1">
      <c r="A5" s="12" t="n">
        <v>1</v>
      </c>
      <c r="B5" s="13" t="inlineStr">
        <is>
          <t>Did you achieve the goal you originally set out to reach?</t>
        </is>
      </c>
    </row>
    <row r="6" ht="40" customHeight="1">
      <c r="A6" s="5" t="n"/>
      <c r="B6" s="5" t="n"/>
    </row>
    <row r="7" ht="30" customHeight="1">
      <c r="A7" s="12" t="n">
        <v>2</v>
      </c>
      <c r="B7" s="13" t="inlineStr">
        <is>
          <t>If not, did you fail, or did the goal change? Why?</t>
        </is>
      </c>
    </row>
    <row r="8" ht="40" customHeight="1">
      <c r="A8" s="5" t="n"/>
      <c r="B8" s="5" t="n"/>
    </row>
    <row r="9" ht="30" customHeight="1">
      <c r="A9" s="12" t="n">
        <v>3</v>
      </c>
      <c r="B9" s="13" t="inlineStr">
        <is>
          <t>Knowing what you know now, what would you have done differently?</t>
        </is>
      </c>
    </row>
    <row r="10" ht="40" customHeight="1">
      <c r="A10" s="5" t="n"/>
      <c r="B10" s="5" t="n"/>
    </row>
    <row r="11" ht="30" customHeight="1">
      <c r="A11" s="12" t="n">
        <v>4</v>
      </c>
      <c r="B11" s="13" t="inlineStr">
        <is>
          <t>Did your Lock-In approach (Phase 2) work?</t>
        </is>
      </c>
    </row>
    <row r="12" ht="40" customHeight="1">
      <c r="A12" s="5" t="n"/>
      <c r="B12" s="5" t="n"/>
    </row>
    <row r="13" ht="30" customHeight="1">
      <c r="A13" s="12" t="n">
        <v>5</v>
      </c>
      <c r="B13" s="13" t="inlineStr">
        <is>
          <t>What obstacles did you not anticipate? Why?</t>
        </is>
      </c>
    </row>
    <row r="14" ht="40" customHeight="1">
      <c r="A14" s="5" t="n"/>
      <c r="B14" s="5" t="n"/>
    </row>
    <row r="15" ht="30" customHeight="1">
      <c r="A15" s="12" t="n">
        <v>6</v>
      </c>
      <c r="B15" s="13" t="inlineStr">
        <is>
          <t>How will you approach similar projects in the future?</t>
        </is>
      </c>
    </row>
    <row r="16" ht="40" customHeight="1">
      <c r="A16" s="5" t="n"/>
      <c r="B16" s="5" t="n"/>
    </row>
    <row r="17" ht="30" customHeight="1">
      <c r="A17" s="12" t="n">
        <v>7</v>
      </c>
      <c r="B17" s="13" t="inlineStr">
        <is>
          <t>How would you coach someone with a similar goal?</t>
        </is>
      </c>
    </row>
    <row r="18" ht="40" customHeight="1">
      <c r="A18" s="5" t="n"/>
      <c r="B18" s="5" t="n"/>
    </row>
    <row r="19" ht="30" customHeight="1">
      <c r="A19" s="12" t="n">
        <v>8</v>
      </c>
      <c r="B19" s="13" t="inlineStr">
        <is>
          <t>What habit was/would be critical to success?</t>
        </is>
      </c>
    </row>
    <row r="20" ht="40" customHeight="1">
      <c r="A20" s="5" t="n"/>
      <c r="B20" s="5" t="n"/>
    </row>
    <row r="21" ht="30" customHeight="1">
      <c r="A21" s="12" t="n">
        <v>9</v>
      </c>
      <c r="B21" s="13" t="inlineStr">
        <is>
          <t>Who would benefit from knowing what you know now?</t>
        </is>
      </c>
    </row>
    <row r="22" ht="40" customHeight="1">
      <c r="A22" s="5" t="n"/>
      <c r="B22" s="5" t="n"/>
    </row>
    <row r="23" ht="30" customHeight="1">
      <c r="A23" s="12" t="n">
        <v>10</v>
      </c>
      <c r="B23" s="13" t="inlineStr">
        <is>
          <t>Was it worth it — was this the right thing to have studied? (effectiveness, not just efficiency)</t>
        </is>
      </c>
    </row>
    <row r="24" ht="40" customHeight="1">
      <c r="A24" s="5" t="n"/>
      <c r="B24" s="5" t="n"/>
    </row>
  </sheetData>
  <mergeCells count="2">
    <mergeCell ref="A3:B3"/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4" customWidth="1" min="3" max="3"/>
  </cols>
  <sheetData>
    <row r="1" ht="28" customHeight="1">
      <c r="A1" s="1" t="inlineStr">
        <is>
          <t>Levels of Learning — Ackoff's ladder</t>
        </is>
      </c>
    </row>
    <row r="3" ht="42" customHeight="1">
      <c r="A3" s="2" t="inlineStr">
        <is>
          <t>Source: Turning Learning Right Side Up: Putting Education Back on Track (Ackoff &amp; Greenberg, 2008). “The content of human minds — and therefore what can be learned — falls into five classes: data, information, knowledge, understanding, and wisdom. They are not equally valuable.”</t>
        </is>
      </c>
    </row>
    <row r="5">
      <c r="A5" s="6" t="inlineStr">
        <is>
          <t>Level</t>
        </is>
      </c>
      <c r="B5" s="6" t="inlineStr">
        <is>
          <t>Answers</t>
        </is>
      </c>
      <c r="C5" s="6" t="inlineStr">
        <is>
          <t>Definition</t>
        </is>
      </c>
    </row>
    <row r="6" ht="34" customHeight="1">
      <c r="A6" s="9" t="inlineStr">
        <is>
          <t>Data</t>
        </is>
      </c>
      <c r="B6" s="14" t="inlineStr">
        <is>
          <t>—</t>
        </is>
      </c>
      <c r="C6" s="14" t="inlineStr">
        <is>
          <t>Symbols representing properties of objects/events (e.g. a street address).</t>
        </is>
      </c>
    </row>
    <row r="7" ht="34" customHeight="1">
      <c r="A7" s="9" t="inlineStr">
        <is>
          <t>Information</t>
        </is>
      </c>
      <c r="B7" s="14" t="inlineStr">
        <is>
          <t>who / where / when / how many</t>
        </is>
      </c>
      <c r="C7" s="14" t="inlineStr">
        <is>
          <t>Data processed to make it useful. “Data is to information as iron ore is to iron.”</t>
        </is>
      </c>
    </row>
    <row r="8" ht="34" customHeight="1">
      <c r="A8" s="9" t="inlineStr">
        <is>
          <t>Knowledge</t>
        </is>
      </c>
      <c r="B8" s="14" t="inlineStr">
        <is>
          <t>how</t>
        </is>
      </c>
      <c r="C8" s="14" t="inlineStr">
        <is>
          <t>Instructions — e.g. how to get from Philadelphia to New York.</t>
        </is>
      </c>
    </row>
    <row r="9" ht="34" customHeight="1">
      <c r="A9" s="9" t="inlineStr">
        <is>
          <t>Understanding</t>
        </is>
      </c>
      <c r="B9" s="14" t="inlineStr">
        <is>
          <t>why</t>
        </is>
      </c>
      <c r="C9" s="14" t="inlineStr">
        <is>
          <t>Explanations — retrospective (what caused it) or prospective (what it's for). This is the CCAF tool's teach-back target.</t>
        </is>
      </c>
    </row>
    <row r="10" ht="34" customHeight="1">
      <c r="A10" s="9" t="inlineStr">
        <is>
          <t>Wisdom</t>
        </is>
      </c>
      <c r="B10" s="14" t="inlineStr">
        <is>
          <t>is it worth it?</t>
        </is>
      </c>
      <c r="C10" s="14" t="inlineStr">
        <is>
          <t>Not efficiency (doing things right) but effectiveness (doing the right thing) — weighs long-term vs. short-term consequences and the value of the goal itself.</t>
        </is>
      </c>
    </row>
    <row r="12" ht="42" customHeight="1">
      <c r="A12" s="2" t="inlineStr">
        <is>
          <t>“An ounce of wisdom is worth 65,536 ounces of data and 4,096 ounces of information” — yet most educational systems allocate nearly all their time to transmitting information, a little to knowledge, almost nothing to understanding, and nothing to wisdom.</t>
        </is>
      </c>
    </row>
    <row r="13" ht="42" customHeight="1">
      <c r="A13" s="2" t="inlineStr">
        <is>
          <t>Retrospective vs. prospective explanation: retrospective answers “what caused X” (looking back — his mother sent him to the store); prospective answers “what is X for” (looking forward — he went to get food for dinner). Both are “why” — understanding needs both directions.</t>
        </is>
      </c>
    </row>
    <row r="14" ht="28" customHeight="1">
      <c r="A14" s="2" t="inlineStr">
        <is>
          <t>David's framing: “I want to be able to talk about WHY I know the answers.” That's the understanding rung — the design target for Phase 4 teach-back.</t>
        </is>
      </c>
    </row>
  </sheetData>
  <mergeCells count="5">
    <mergeCell ref="A13:C13"/>
    <mergeCell ref="A1:C1"/>
    <mergeCell ref="A14:C14"/>
    <mergeCell ref="A3:C3"/>
    <mergeCell ref="A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8" customWidth="1" min="1" max="1"/>
    <col width="74" customWidth="1" min="2" max="2"/>
  </cols>
  <sheetData>
    <row r="1" ht="28" customHeight="1">
      <c r="A1" s="1" t="inlineStr">
        <is>
          <t>Personal Learning Systems</t>
        </is>
      </c>
    </row>
    <row r="3" ht="42" customHeight="1">
      <c r="A3" s="2" t="inlineStr">
        <is>
          <t>“Effectiveness is the degree to which the action(s) taken contribute to the goal — an effective action is the right action. Efficiency is the ratio of meaningful output to resources expended — an efficient action is an action done right.” — Collin Jewett, Out of Your Wheelhouse, 2019</t>
        </is>
      </c>
    </row>
    <row r="5">
      <c r="A5" s="3" t="inlineStr">
        <is>
          <t>1. Identify / select learning pursuit</t>
        </is>
      </c>
    </row>
    <row r="6" ht="28" customHeight="1">
      <c r="A6" s="5" t="n"/>
      <c r="B6" s="8" t="inlineStr">
        <is>
          <t>Hoarder vs. Hunter vs. Hobbyist: is this just-in-case, just-in-time, or just-for-fun?</t>
        </is>
      </c>
    </row>
    <row r="7" ht="28" customHeight="1">
      <c r="A7" s="5" t="n"/>
      <c r="B7" s="8" t="inlineStr">
        <is>
          <t>What is the problem I'm trying to solve, and is it worth solving?</t>
        </is>
      </c>
    </row>
    <row r="8" ht="28" customHeight="1">
      <c r="A8" s="5" t="n"/>
      <c r="B8" s="8" t="inlineStr">
        <is>
          <t>Should I be the one solving it? If not, who should?</t>
        </is>
      </c>
    </row>
    <row r="9" ht="28" customHeight="1">
      <c r="A9" s="5" t="n"/>
      <c r="B9" s="8" t="inlineStr">
        <is>
          <t>What are my success criteria — at what point will I be satisfied?</t>
        </is>
      </c>
    </row>
    <row r="10" ht="28" customHeight="1">
      <c r="A10" s="5" t="n"/>
      <c r="B10" s="8" t="inlineStr">
        <is>
          <t>What do I have to say “no” to, to say “yes” to this?</t>
        </is>
      </c>
    </row>
    <row r="11" ht="28" customHeight="1">
      <c r="A11" s="5" t="n"/>
      <c r="B11" s="8" t="inlineStr">
        <is>
          <t>How long should I work on this before re-evaluating whether it's worth it?</t>
        </is>
      </c>
    </row>
    <row r="13">
      <c r="A13" s="3" t="inlineStr">
        <is>
          <t>2. Identify / select resources &amp; learning tasks</t>
        </is>
      </c>
    </row>
    <row r="14" ht="28" customHeight="1">
      <c r="A14" s="5" t="n"/>
      <c r="B14" s="8" t="inlineStr">
        <is>
          <t>“How can I [X] in [absurdly short timeline]?” — google this before any other research.</t>
        </is>
      </c>
    </row>
    <row r="15" ht="28" customHeight="1">
      <c r="A15" s="5" t="n"/>
      <c r="B15" s="8" t="inlineStr">
        <is>
          <t>Has someone else already done this? What can I learn from their approach/mistakes?</t>
        </is>
      </c>
    </row>
    <row r="16" ht="28" customHeight="1">
      <c r="A16" s="5" t="n"/>
      <c r="B16" s="8" t="inlineStr">
        <is>
          <t>Who are the experts? Do they agree, or are there competing perspectives?</t>
        </is>
      </c>
    </row>
    <row r="17" ht="28" customHeight="1">
      <c r="A17" s="5" t="n"/>
      <c r="B17" s="8" t="inlineStr">
        <is>
          <t>What types of resources do I prefer (books, video, audio, courses, live coaching)?</t>
        </is>
      </c>
    </row>
    <row r="18" ht="28" customHeight="1">
      <c r="A18" s="5" t="n"/>
      <c r="B18" s="8" t="inlineStr">
        <is>
          <t>What would materials perfectly tailored to me look like? Could I build my own from several sources?</t>
        </is>
      </c>
    </row>
    <row r="20">
      <c r="A20" s="3" t="inlineStr">
        <is>
          <t>3. Consume resources / perform tasks</t>
        </is>
      </c>
    </row>
    <row r="21" ht="28" customHeight="1">
      <c r="A21" s="5" t="n"/>
      <c r="B21" s="8" t="inlineStr">
        <is>
          <t>What questions should I be asking? What's the fastest way to the result I want?</t>
        </is>
      </c>
    </row>
    <row r="22" ht="28" customHeight="1">
      <c r="A22" s="5" t="n"/>
      <c r="B22" s="8" t="inlineStr">
        <is>
          <t>Which tools should I use, and in what order — mind mapping, memory palaces, SQ3R, chunking?</t>
        </is>
      </c>
    </row>
    <row r="23" ht="28" customHeight="1">
      <c r="A23" s="5" t="n"/>
      <c r="B23" s="8" t="inlineStr">
        <is>
          <t>Should I use different tools for different tasks/resources? (probably)</t>
        </is>
      </c>
    </row>
    <row r="25">
      <c r="A25" s="3" t="inlineStr">
        <is>
          <t>4. Maintain and apply knowledge</t>
        </is>
      </c>
    </row>
    <row r="26" ht="28" customHeight="1">
      <c r="A26" s="5" t="n"/>
      <c r="B26" s="8" t="inlineStr">
        <is>
          <t>Do I need to remember this perfectly, forever — or will repeated application do it naturally?</t>
        </is>
      </c>
    </row>
    <row r="27" ht="28" customHeight="1">
      <c r="A27" s="5" t="n"/>
      <c r="B27" s="8" t="inlineStr">
        <is>
          <t>How can I use spaced repetition to cement this? Does it have to be drills/flashcards?</t>
        </is>
      </c>
    </row>
    <row r="28" ht="28" customHeight="1">
      <c r="A28" s="5" t="n"/>
      <c r="B28" s="8" t="inlineStr">
        <is>
          <t>Could I create opportunities to use this in my current routines?</t>
        </is>
      </c>
    </row>
    <row r="29" ht="28" customHeight="1">
      <c r="A29" s="5" t="n"/>
      <c r="B29" s="8" t="inlineStr">
        <is>
          <t>Is there anyone I could teach this to, for my own benefit and theirs? (Feynman / teach-back)</t>
        </is>
      </c>
    </row>
    <row r="30" ht="28" customHeight="1">
      <c r="A30" s="5" t="n"/>
      <c r="B30" s="8" t="inlineStr">
        <is>
          <t>How does this relate to other topics/ideas? (lateral thinking speeds mastery of new subjects)</t>
        </is>
      </c>
    </row>
  </sheetData>
  <mergeCells count="6">
    <mergeCell ref="A20:B20"/>
    <mergeCell ref="A25:B25"/>
    <mergeCell ref="A5:B5"/>
    <mergeCell ref="A13:B13"/>
    <mergeCell ref="A1:B1"/>
    <mergeCell ref="A3:B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 ht="28" customHeight="1">
      <c r="A1" s="1" t="inlineStr">
        <is>
          <t>SuperHuman Life — accountability framework</t>
        </is>
      </c>
    </row>
    <row r="3" ht="42" customHeight="1">
      <c r="A3" s="2" t="inlineStr">
        <is>
          <t>Concepts distilled from David's own peer-coaching program (roster/schedule omitted — those are personal to the group, not reusable reference material). This is the lived, working version of Phase 2's “locking mechanisms.”</t>
        </is>
      </c>
    </row>
    <row r="5">
      <c r="A5" s="3" t="inlineStr">
        <is>
          <t>The Tetraud — 4 roles, one accountability pod</t>
        </is>
      </c>
    </row>
    <row r="6" ht="28" customHeight="1">
      <c r="A6" s="7" t="inlineStr">
        <is>
          <t>“Tetraud” = 4 listeners, named for the tetrahedron: regardless of which face is down, the peak vertex is held up by the other 3. A session runs under an hour; roles rotate each session.</t>
        </is>
      </c>
    </row>
    <row r="8" ht="48" customHeight="1">
      <c r="A8" s="9" t="inlineStr">
        <is>
          <t>The Hero</t>
        </is>
      </c>
      <c r="B8" s="8" t="inlineStr">
        <is>
          <t>Defines the purpose and direction of the journey. Must be vulnerable, honest, coachable, courageous — articulates inner desires and obstacles, and leaves with a clear next action.</t>
        </is>
      </c>
    </row>
    <row r="9" ht="48" customHeight="1">
      <c r="A9" s="9" t="inlineStr">
        <is>
          <t>The Coach</t>
        </is>
      </c>
      <c r="B9" s="8" t="inlineStr">
        <is>
          <t>Asks questions and reacts honestly to help the Hero articulate the next step — never gives advice. Fully present, curious enough to interrupt if the dialogue stalls.</t>
        </is>
      </c>
    </row>
    <row r="10" ht="48" customHeight="1">
      <c r="A10" s="9" t="inlineStr">
        <is>
          <t>The Helper</t>
        </is>
      </c>
      <c r="B10" s="8" t="inlineStr">
        <is>
          <t>Accountability partner and sidekick. Listens for committed action items, takes notes, follows up with the Hero outside the session. Kind, humble, reliable.</t>
        </is>
      </c>
    </row>
    <row r="11" ht="48" customHeight="1">
      <c r="A11" s="9" t="inlineStr">
        <is>
          <t>The Advisor</t>
        </is>
      </c>
      <c r="B11" s="8" t="inlineStr">
        <is>
          <t>Provides wisdom and an outside perspective the Hero may be blind to — the only role that gives advice, and only after listening through most of the session.</t>
        </is>
      </c>
    </row>
    <row r="13">
      <c r="A13" s="3" t="inlineStr">
        <is>
          <t>Presentations vs. Learning Labs</t>
        </is>
      </c>
    </row>
    <row r="14" ht="42" customHeight="1">
      <c r="A14" s="7" t="inlineStr">
        <is>
          <t>Presentation: one person shares what they've learned and asks for evaluative feedback (“this worked / didn't work,” not “good/bad”). A powerful way to deepen understanding using the FEYNMAN TECHNIQUE — presenting should help the audience identify something they couldn't before.</t>
        </is>
      </c>
    </row>
    <row r="15" ht="28" customHeight="1">
      <c r="A15" s="7" t="inlineStr">
        <is>
          <t>Learning Lab: a facilitated exercise where participants learn by DOING — &lt;10% explanation, &gt;90% active practice.</t>
        </is>
      </c>
    </row>
    <row r="17">
      <c r="A17" s="3" t="inlineStr">
        <is>
          <t>Cross-reference</t>
        </is>
      </c>
    </row>
    <row r="18" ht="28" customHeight="1">
      <c r="A18" s="7" t="inlineStr">
        <is>
          <t>See .planning/SUPERLEARN-SPEC.md §2 (Phase 2 — Lock it In) and §4 (Phase 4 — Make it Simple) for how these map onto the CCAF study hub.</t>
        </is>
      </c>
    </row>
  </sheetData>
  <mergeCells count="9">
    <mergeCell ref="A15:B15"/>
    <mergeCell ref="A5:B5"/>
    <mergeCell ref="A13:B13"/>
    <mergeCell ref="A14:B14"/>
    <mergeCell ref="A1:B1"/>
    <mergeCell ref="A17:B17"/>
    <mergeCell ref="A18:B18"/>
    <mergeCell ref="A3:B3"/>
    <mergeCell ref="A6:B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2026-07-12T20:06:58Z</dcterms:created>
  <dcterms:modified xmlns:dcterms="http://purl.org/dc/terms/" xmlns:xsi="http://www.w3.org/2001/XMLSchema-instance" xsi:type="dcterms:W3CDTF">2026-07-12T20:06:58Z</dcterms:modified>
</cp:coreProperties>
</file>